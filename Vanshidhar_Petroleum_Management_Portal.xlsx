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2.xml" ContentType="application/vnd.openxmlformats-officedocument.drawingml.chart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85" windowWidth="28455" windowHeight="11190" firstSheet="4" activeTab="11"/>
  </bookViews>
  <sheets>
    <sheet name="Deshbord" sheetId="1" r:id="rId1"/>
    <sheet name="Fuel Stock Ledger" sheetId="2" r:id="rId2"/>
    <sheet name="Nozzle Sales Logs" sheetId="3" r:id="rId3"/>
    <sheet name="Oil Purchage" sheetId="14" r:id="rId4"/>
    <sheet name="SBI CC Bank Ledger" sheetId="4" r:id="rId5"/>
    <sheet name="Pump Miscellaneous Costs" sheetId="9" r:id="rId6"/>
    <sheet name="Staff Wages Ledger" sheetId="8" r:id="rId7"/>
    <sheet name="Debit Interest Book" sheetId="6" r:id="rId8"/>
    <sheet name="Owner Personal Book" sheetId="5" r:id="rId9"/>
    <sheet name="HPCL " sheetId="15" r:id="rId10"/>
    <sheet name="Party Credit Accounts" sheetId="7" r:id="rId11"/>
    <sheet name="Mobil Lubes Log" sheetId="10" r:id="rId12"/>
    <sheet name="Monthly " sheetId="13" r:id="rId13"/>
    <sheet name="Yearly" sheetId="12" r:id="rId14"/>
  </sheets>
  <definedNames>
    <definedName name="_xlnm.Print_Area" localSheetId="0">Deshbord!$A$1:$I$37</definedName>
  </definedNames>
  <calcPr calcId="124519"/>
</workbook>
</file>

<file path=xl/calcChain.xml><?xml version="1.0" encoding="utf-8"?>
<calcChain xmlns="http://schemas.openxmlformats.org/spreadsheetml/2006/main">
  <c r="F17" i="15"/>
  <c r="L5" i="13" s="1"/>
  <c r="L39" s="1"/>
  <c r="J37" i="2"/>
  <c r="H39" s="1"/>
  <c r="H40" s="1"/>
  <c r="H37"/>
  <c r="I37"/>
  <c r="E37"/>
  <c r="C39" s="1"/>
  <c r="C40" s="1"/>
  <c r="C37"/>
  <c r="D37"/>
  <c r="J23"/>
  <c r="K23" s="1"/>
  <c r="J22"/>
  <c r="K22" s="1"/>
  <c r="F23"/>
  <c r="E23"/>
  <c r="E22"/>
  <c r="F22" s="1"/>
  <c r="F14" i="14"/>
  <c r="B5" i="1" s="1"/>
  <c r="D14" i="14"/>
  <c r="D19" i="9"/>
  <c r="B7" i="1" s="1"/>
  <c r="D27" i="8"/>
  <c r="B8" i="1" s="1"/>
  <c r="D18" i="6"/>
  <c r="B9" i="1" s="1"/>
  <c r="F45" i="5"/>
  <c r="D45"/>
  <c r="E45"/>
  <c r="B10" i="1" s="1"/>
  <c r="D17" i="15"/>
  <c r="E17"/>
  <c r="D61" i="7"/>
  <c r="E61"/>
  <c r="B11" i="1" s="1"/>
  <c r="F61" i="7"/>
  <c r="F23" i="5"/>
  <c r="F45" i="4"/>
  <c r="F5" i="13" s="1"/>
  <c r="F39" s="1"/>
  <c r="D45" i="4"/>
  <c r="E45"/>
  <c r="F27"/>
  <c r="F26"/>
  <c r="F40" i="3"/>
  <c r="B5" i="13" s="1"/>
  <c r="B39" s="1"/>
  <c r="F41" i="3"/>
  <c r="F39"/>
  <c r="F38"/>
  <c r="E39"/>
  <c r="E38"/>
  <c r="B15" i="1"/>
  <c r="B17" s="1"/>
  <c r="K5" i="13"/>
  <c r="K39" s="1"/>
  <c r="J5"/>
  <c r="J39" s="1"/>
  <c r="H5"/>
  <c r="H39" s="1"/>
  <c r="G5"/>
  <c r="G39" s="1"/>
  <c r="E5"/>
  <c r="D6"/>
  <c r="D7"/>
  <c r="D8"/>
  <c r="D9"/>
  <c r="D10"/>
  <c r="D11"/>
  <c r="D12"/>
  <c r="D13"/>
  <c r="D14"/>
  <c r="D15"/>
  <c r="D16"/>
  <c r="C5"/>
  <c r="C39" s="1"/>
  <c r="I39"/>
  <c r="M39"/>
  <c r="N39"/>
  <c r="O39"/>
  <c r="P39"/>
  <c r="Q39"/>
  <c r="R39"/>
  <c r="R4"/>
  <c r="Q4"/>
  <c r="O4"/>
  <c r="N4"/>
  <c r="M4"/>
  <c r="L4"/>
  <c r="K4"/>
  <c r="J4"/>
  <c r="I4"/>
  <c r="H4"/>
  <c r="G4"/>
  <c r="F4"/>
  <c r="E4"/>
  <c r="D4"/>
  <c r="C4"/>
  <c r="B4"/>
  <c r="F12" i="2"/>
  <c r="F13"/>
  <c r="F14"/>
  <c r="F15"/>
  <c r="F16"/>
  <c r="F17"/>
  <c r="F18"/>
  <c r="F19"/>
  <c r="F20"/>
  <c r="F21"/>
  <c r="K12"/>
  <c r="K13"/>
  <c r="K14"/>
  <c r="K15"/>
  <c r="K16"/>
  <c r="K17"/>
  <c r="K18"/>
  <c r="K19"/>
  <c r="K20"/>
  <c r="K21"/>
  <c r="K11"/>
  <c r="F11"/>
  <c r="K4"/>
  <c r="K5"/>
  <c r="K6"/>
  <c r="K7"/>
  <c r="K8"/>
  <c r="K9"/>
  <c r="K10"/>
  <c r="F4"/>
  <c r="F5"/>
  <c r="F6"/>
  <c r="F7"/>
  <c r="F8"/>
  <c r="F9"/>
  <c r="F10"/>
  <c r="K3"/>
  <c r="F3"/>
  <c r="F7" i="15"/>
  <c r="F6"/>
  <c r="F3"/>
  <c r="E39" i="13" l="1"/>
  <c r="B12" i="1"/>
  <c r="F40" i="2"/>
  <c r="B13" i="1" s="1"/>
  <c r="G23" i="2"/>
  <c r="B23"/>
  <c r="B6" i="1"/>
  <c r="D5" i="13"/>
  <c r="D39" s="1"/>
  <c r="E64" i="3"/>
  <c r="F64"/>
  <c r="B4" i="1" s="1"/>
  <c r="B14" l="1"/>
  <c r="B18" s="1"/>
</calcChain>
</file>

<file path=xl/sharedStrings.xml><?xml version="1.0" encoding="utf-8"?>
<sst xmlns="http://schemas.openxmlformats.org/spreadsheetml/2006/main" count="1030" uniqueCount="307">
  <si>
    <t>Financial Metric / Indicator</t>
  </si>
  <si>
    <t>Amount Value (INR)</t>
  </si>
  <si>
    <t>Total Sales</t>
  </si>
  <si>
    <t>Total Purchase</t>
  </si>
  <si>
    <t>Account Balance (SBI CC)</t>
  </si>
  <si>
    <t>Total Expense</t>
  </si>
  <si>
    <t>Total Staff Payment</t>
  </si>
  <si>
    <t>Total Debit Interest</t>
  </si>
  <si>
    <t>Other Party Debit Summary</t>
  </si>
  <si>
    <t>HPCL Credit Balance</t>
  </si>
  <si>
    <t>Total Oil Stock Value</t>
  </si>
  <si>
    <t>Total Kharch &amp; Stock Combined</t>
  </si>
  <si>
    <t>Account Credit Total</t>
  </si>
  <si>
    <t>Total Debit Account Summary</t>
  </si>
  <si>
    <t>Balance Account Framework</t>
  </si>
  <si>
    <t>Net Operational Profit / Loss</t>
  </si>
  <si>
    <t>VANSHIDHAR PETROLEUM - HPCL PANSA (FUEL STOCK LEDGER)</t>
  </si>
  <si>
    <t>Date</t>
  </si>
  <si>
    <t>MS Opening</t>
  </si>
  <si>
    <t>MS Purchase</t>
  </si>
  <si>
    <t>MS Sale</t>
  </si>
  <si>
    <t>MS Closing</t>
  </si>
  <si>
    <t>HSD Opening</t>
  </si>
  <si>
    <t>HSD Purchase</t>
  </si>
  <si>
    <t>HSD Sale</t>
  </si>
  <si>
    <t>HSD Closing</t>
  </si>
  <si>
    <t>Status</t>
  </si>
  <si>
    <t>2026-08-26</t>
  </si>
  <si>
    <t>Open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</si>
  <si>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</si>
  <si>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</si>
  <si>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</si>
  <si>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</si>
  <si>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</si>
  <si>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</si>
  <si>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</si>
  <si>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</si>
  <si>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</si>
  <si>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</si>
  <si>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Close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</si>
  <si>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</si>
  <si>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</si>
  <si>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</si>
  <si>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</si>
  <si>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</si>
  <si>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</si>
  <si>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</si>
  <si>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</si>
  <si>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</si>
  <si>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Total Sum Variance</t>
  </si>
  <si>
    <t>-</t>
  </si>
  <si>
    <t>VANSHIDHAR PETROLEUM - HPCL PANSA (NOZZLE SALES LOGS)</t>
  </si>
  <si>
    <t>Product</t>
  </si>
  <si>
    <t>Nozzle #</t>
  </si>
  <si>
    <t>Rate/Ltr</t>
  </si>
  <si>
    <t>Quantity (Ltr)</t>
  </si>
  <si>
    <t>Total Amount</t>
  </si>
  <si>
    <t>Payment Mode</t>
  </si>
  <si>
    <t>Customer Type</t>
  </si>
  <si>
    <t>2028-08-27</t>
  </si>
  <si>
    <t>MS(Petrol)</t>
  </si>
  <si>
    <t>UPI/Cash</t>
  </si>
  <si>
    <t>Retail</t>
  </si>
  <si>
    <t>HSD(Diesel)</t>
  </si>
  <si>
    <t>2028-08-28</t>
  </si>
  <si>
    <t>2028-08-29</t>
  </si>
  <si>
    <t>2028-08-30</t>
  </si>
  <si>
    <t>2028-08-31</t>
  </si>
  <si>
    <t>None</t>
  </si>
  <si>
    <t>Closed Operations</t>
  </si>
  <si>
    <t>Cumulative Total Sales</t>
  </si>
  <si>
    <t>VANSHIDHAR PETROLEUM - HPCL PANSA (SBI CC BANK LEDGER)</t>
  </si>
  <si>
    <t>Bank/Account No</t>
  </si>
  <si>
    <t>Particular Description</t>
  </si>
  <si>
    <t>Credit (+)</t>
  </si>
  <si>
    <t>Debit (-)</t>
  </si>
  <si>
    <t>Balance Out</t>
  </si>
  <si>
    <t>24-Aug-2026</t>
  </si>
  <si>
    <t>State Bank Of India</t>
  </si>
  <si>
    <t>CC Loan Account Credit Vanshidhar</t>
  </si>
  <si>
    <t>SBI/45496939063</t>
  </si>
  <si>
    <t>CC Loan Se Kisi Trust Ke Name Pe Debit</t>
  </si>
  <si>
    <t>Edfs Account Close Debit</t>
  </si>
  <si>
    <t>Oil Purchage Hpcl Debit</t>
  </si>
  <si>
    <t>25-Aug-2026</t>
  </si>
  <si>
    <t>CC Loan Account Debit Against Charges</t>
  </si>
  <si>
    <t>Customer Online Payment</t>
  </si>
  <si>
    <t>Customer Online Payment &amp; Intrest Debit</t>
  </si>
  <si>
    <t>Customer Online UPI &amp; Oil Purchase HPCL</t>
  </si>
  <si>
    <t>Customer Online Payment Status</t>
  </si>
  <si>
    <t>Account Balance Closing Summary</t>
  </si>
  <si>
    <t>Net Accumulation</t>
  </si>
  <si>
    <t>VANSHIDHAR PETROLEUM - HPCL PANSA (OWNER PERSONAL BOOK)</t>
  </si>
  <si>
    <t>Owner Entity Name</t>
  </si>
  <si>
    <t>Particular Transaction Detail</t>
  </si>
  <si>
    <t>Credit Amount</t>
  </si>
  <si>
    <t>Debit Amount</t>
  </si>
  <si>
    <t>Balance Standing</t>
  </si>
  <si>
    <t>Ashwinini Kumar Singh</t>
  </si>
  <si>
    <t>Kumar Priyanka Singh Mobile Recharge</t>
  </si>
  <si>
    <t>Arun Mehta Cash Muslim Boy Copy Pen Gift</t>
  </si>
  <si>
    <t>Vivek Singh Tractore Driver</t>
  </si>
  <si>
    <t>Parsal Account Charges</t>
  </si>
  <si>
    <t>Parsal Delivery Expenses</t>
  </si>
  <si>
    <t>Parsal Dto Fare Dharmveer Bus Driver</t>
  </si>
  <si>
    <t>Mithi Lic Dk Pathak Policy</t>
  </si>
  <si>
    <t>Vivek Singh Tractore Payment</t>
  </si>
  <si>
    <t>Krishna Janmasthmi Chanda Festival</t>
  </si>
  <si>
    <t>Bullet Bike Petrol Pump Self</t>
  </si>
  <si>
    <t>Subham Phone Pe Rashid Block Payment</t>
  </si>
  <si>
    <t>Scorpio N Diesel Bikash Driver</t>
  </si>
  <si>
    <t>Bullet Bike Petrol Entry</t>
  </si>
  <si>
    <t>Aksingh Cash Personal Withdrawal</t>
  </si>
  <si>
    <t>Scorpio N Diesel Refuel Bikash</t>
  </si>
  <si>
    <t>Golu Singh Washing Center Maintenance</t>
  </si>
  <si>
    <t>Chandan Cash Suresh Prajapati Nali Pay</t>
  </si>
  <si>
    <t>Kumar Priyanka Singh Phone Pe Transfer</t>
  </si>
  <si>
    <t>Scorpio N Fastage Recharge Bikash Phone Pe</t>
  </si>
  <si>
    <t>Total Owner Draw Balance</t>
  </si>
  <si>
    <t>Net Closing Ledger</t>
  </si>
  <si>
    <t>VANSHIDHAR PETROLEUM - HPCL PANSA (DEBIT INTEREST BOOK)</t>
  </si>
  <si>
    <t>Account/Loan Profile</t>
  </si>
  <si>
    <t>Interest Particular Detail</t>
  </si>
  <si>
    <t>Interest Amount</t>
  </si>
  <si>
    <t>Billing Class</t>
  </si>
  <si>
    <t>CC Loan Account Opening Entry Trust</t>
  </si>
  <si>
    <t>Debit Charge Entry</t>
  </si>
  <si>
    <t>CC Loan Account Processing Charges</t>
  </si>
  <si>
    <t>CC Loan Account Accumulated Interest</t>
  </si>
  <si>
    <t>Interest Applied</t>
  </si>
  <si>
    <t>Total Debit Interest Summary</t>
  </si>
  <si>
    <t>Consolidated Cost Value</t>
  </si>
  <si>
    <t>VANSHIDHAR PETROLEUM - HPCL PANSA (PARTY CREDIT ACCOUNTS)</t>
  </si>
  <si>
    <t>Party/Customer Name</t>
  </si>
  <si>
    <t>Particular Reference Details</t>
  </si>
  <si>
    <t>Credit Dynamic</t>
  </si>
  <si>
    <t>Debit Dynamic</t>
  </si>
  <si>
    <t>Net Balance Matrix</t>
  </si>
  <si>
    <t>01-Aug-2026</t>
  </si>
  <si>
    <t>CHOTU SINGH</t>
  </si>
  <si>
    <t>Opening Base Balance Intrest 3%</t>
  </si>
  <si>
    <t>GUDU SINGH</t>
  </si>
  <si>
    <t>J P CONST</t>
  </si>
  <si>
    <t>Opening Credit Claim Engine Records</t>
  </si>
  <si>
    <t>Sonu Singh Ranideva</t>
  </si>
  <si>
    <t>Opening Running Outstandings Ledger</t>
  </si>
  <si>
    <t>Chandan Kumar</t>
  </si>
  <si>
    <t>Opening Advanced Ledger Standings</t>
  </si>
  <si>
    <t>Upendra Kumar Singh</t>
  </si>
  <si>
    <t>Bulk Party Running Credit Matrix</t>
  </si>
  <si>
    <t>Rakesh Paswan</t>
  </si>
  <si>
    <t>Opening Small Fleet Account Tracker</t>
  </si>
  <si>
    <t>Sharwan Singh</t>
  </si>
  <si>
    <t>Opening Logistics Party Ledger Account</t>
  </si>
  <si>
    <t>Rakesh Singh Bairiya</t>
  </si>
  <si>
    <t>Opening Contract Balance Book</t>
  </si>
  <si>
    <t>Fulendra Ram</t>
  </si>
  <si>
    <t>Opening Local Credit Book Summary</t>
  </si>
  <si>
    <t>Shashi Kumar Singh</t>
  </si>
  <si>
    <t>Opening Ledger Book Setup</t>
  </si>
  <si>
    <t>Suchun Singh</t>
  </si>
  <si>
    <t>Local Consumer Base Card Log</t>
  </si>
  <si>
    <t>Rajan Singh</t>
  </si>
  <si>
    <t>Opening Material Moving Truck Log</t>
  </si>
  <si>
    <t>Moon Singh</t>
  </si>
  <si>
    <t>Opening Local Landlord Account Log</t>
  </si>
  <si>
    <t>Dooars Construction</t>
  </si>
  <si>
    <t>Opening Brick Kiln Supply Account</t>
  </si>
  <si>
    <t xml:space="preserve">Ravi Singh </t>
  </si>
  <si>
    <t>Fleet Operator Opening Standing</t>
  </si>
  <si>
    <t>Rajendra Singh Badiha</t>
  </si>
  <si>
    <t>Opening Farm Supply Credit Registry</t>
  </si>
  <si>
    <t>Sonu Badiha</t>
  </si>
  <si>
    <t>Opening Local Account Standings</t>
  </si>
  <si>
    <t>Ranjan Prajapati</t>
  </si>
  <si>
    <t>Lube Mobil/Petrol Entry Register</t>
  </si>
  <si>
    <t>Bike Petrol Purchase Entry</t>
  </si>
  <si>
    <t>Diesel &amp; Petrol Bulk Commercial Supply</t>
  </si>
  <si>
    <t>Diesel Tractor Fill Log</t>
  </si>
  <si>
    <t>Cash Operational Advance Taken</t>
  </si>
  <si>
    <t>Cash Draw Account Request</t>
  </si>
  <si>
    <t>Cash Transaction Out</t>
  </si>
  <si>
    <t>Bike Petrol Account Entry</t>
  </si>
  <si>
    <t>Diesel Tanker Supply Dispensation</t>
  </si>
  <si>
    <t>Diesel Tractor Dispatch Ledger</t>
  </si>
  <si>
    <t>Cash Advanced Clear out</t>
  </si>
  <si>
    <t>A/c Sandhya Devi Direct Clear</t>
  </si>
  <si>
    <t>Cash deposit entry counter</t>
  </si>
  <si>
    <t>A/c Sandhya Devi Operational Direct</t>
  </si>
  <si>
    <t>Cash Ledger Release Counter</t>
  </si>
  <si>
    <t>Bike Petrol Consumption Fill</t>
  </si>
  <si>
    <t>Cash Issued Hand To Hand</t>
  </si>
  <si>
    <t>Cash Internal Entry Request</t>
  </si>
  <si>
    <t>Sonu Singh Badiha</t>
  </si>
  <si>
    <t>Diesel Scorpio n Refuel Record</t>
  </si>
  <si>
    <t>Bike Petrol Self Card</t>
  </si>
  <si>
    <t>Awadhesh Ram Cash Payment Adjustment</t>
  </si>
  <si>
    <t>Sarwan Singh</t>
  </si>
  <si>
    <t>Aks Cash Settlement Voucher</t>
  </si>
  <si>
    <t>Cash &amp; Ravi Phone Pe Combo Account</t>
  </si>
  <si>
    <t>Satendra Singh T Diesel Slip</t>
  </si>
  <si>
    <t>Cash Payment Advance Token</t>
  </si>
  <si>
    <t>Diesel &amp; Petrol Combined Slip</t>
  </si>
  <si>
    <t>Total Consolidated Party Book</t>
  </si>
  <si>
    <t>Aggregated Balances Summary</t>
  </si>
  <si>
    <t>VANSHIDHAR PETROLEUM - HPCL PANSA (STAFF WAGES LEDGER)</t>
  </si>
  <si>
    <t>Staff Member Name</t>
  </si>
  <si>
    <t>Particular Specific Detail</t>
  </si>
  <si>
    <t>Payment Amount</t>
  </si>
  <si>
    <t>Disbursal Mode</t>
  </si>
  <si>
    <t>Dharmendra Kumar Singh</t>
  </si>
  <si>
    <t>Phone Pay Rakhi &amp; Sweet Festival Gift</t>
  </si>
  <si>
    <t>Salary Advance Mode</t>
  </si>
  <si>
    <t>Personal Works Rakhi Gift Festive</t>
  </si>
  <si>
    <t>Sourabh Kumar Singh</t>
  </si>
  <si>
    <t>Personal works advanced allocation</t>
  </si>
  <si>
    <t>Personal works advance draw</t>
  </si>
  <si>
    <t>Personal works emergency cash</t>
  </si>
  <si>
    <t>Personal works running cash allocation</t>
  </si>
  <si>
    <t>Final Monthly Payment Aug-26 Clearance</t>
  </si>
  <si>
    <t>Salary Settlement Clear</t>
  </si>
  <si>
    <t>Personal works intermediate draw</t>
  </si>
  <si>
    <t>Gudu Mistry repairs pump tip payment</t>
  </si>
  <si>
    <t>Customer Phone Pe Adjustment Entry</t>
  </si>
  <si>
    <t>Personal works closing advance draw</t>
  </si>
  <si>
    <t>Total Staff Wages Disbursed</t>
  </si>
  <si>
    <t>Summed Operational Labor Costs</t>
  </si>
  <si>
    <t>VANSHIDHAR PETROLEUM - HPCL PANSA (PUMP MISCELLANEOUS COSTS)</t>
  </si>
  <si>
    <t>Expense Account Head</t>
  </si>
  <si>
    <t>Particular Activity Detail</t>
  </si>
  <si>
    <t>Amount Cost</t>
  </si>
  <si>
    <t>Transaction Mode</t>
  </si>
  <si>
    <t>CC Loan Open Sbi</t>
  </si>
  <si>
    <t>Balance Sheet CA Certification audit fees</t>
  </si>
  <si>
    <t>Phone Pe Payment</t>
  </si>
  <si>
    <t>Ankit Mali</t>
  </si>
  <si>
    <t>Phool Mala Decor Daily Routine Cost</t>
  </si>
  <si>
    <t>Petrol Pump Cash</t>
  </si>
  <si>
    <t>Pump Expense</t>
  </si>
  <si>
    <t>GVR Machine New Battery replacement 12volt</t>
  </si>
  <si>
    <t>Electricity / Store Cash</t>
  </si>
  <si>
    <t>CVT Stabilizer Repair Maintenance Control Card</t>
  </si>
  <si>
    <t>Total Pump General Expenses</t>
  </si>
  <si>
    <t>Aggregated Miscellaneous Cash Costs</t>
  </si>
  <si>
    <t>VANSHIDHAR PETROLEUM - HPCL PANSA (MOBIL LUBES LOG)</t>
  </si>
  <si>
    <t>Item Description</t>
  </si>
  <si>
    <t>Opening Qty</t>
  </si>
  <si>
    <t>Purchase Qty</t>
  </si>
  <si>
    <t>Sale Qty</t>
  </si>
  <si>
    <t>Closing Qty</t>
  </si>
  <si>
    <t>Amount Income</t>
  </si>
  <si>
    <t>HP Lal Ghoda 1 Ltr</t>
  </si>
  <si>
    <t>Open Sale</t>
  </si>
  <si>
    <t>Tooty 40ml pouch</t>
  </si>
  <si>
    <t>Engine Oil Extra 1 Ltr</t>
  </si>
  <si>
    <t>Total Lubricant Items Clear</t>
  </si>
  <si>
    <t>Oil Matrix</t>
  </si>
  <si>
    <t>VANSHIDHAR PETROLEUM - HPCL PANSA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</si>
  <si>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</si>
  <si>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</si>
  <si>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</si>
  <si>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</si>
  <si>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</si>
  <si>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</si>
  <si>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</si>
  <si>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</si>
  <si>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</si>
  <si>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</si>
  <si>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</si>
  <si>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</si>
  <si>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</si>
  <si>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</si>
  <si>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</si>
  <si>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</si>
  <si>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2026-09-31</t>
  </si>
  <si>
    <t>2026-09-32</t>
  </si>
  <si>
    <t xml:space="preserve">Lal Ghoda 9 Ltr Golu </t>
  </si>
  <si>
    <t>Daily Report</t>
  </si>
  <si>
    <t>Total Sale</t>
  </si>
  <si>
    <t>Purchase</t>
  </si>
  <si>
    <t>Owner Debit (Ashwini Kumar Singh)</t>
  </si>
  <si>
    <t>Owner Debit (Ashwini Kumar Singh )</t>
  </si>
  <si>
    <t>Aug-2026 to July-2027</t>
  </si>
  <si>
    <t>Yearly</t>
  </si>
  <si>
    <t>Aug-2026 to July-2028</t>
  </si>
  <si>
    <t>Aug-2026 to July-2029</t>
  </si>
  <si>
    <t>Aug-2026 to July-2030</t>
  </si>
  <si>
    <t>Aug-2026 to July-2031</t>
  </si>
  <si>
    <t>Aug-2026 to July-2032</t>
  </si>
  <si>
    <t>Aug-2026 to July-2033</t>
  </si>
  <si>
    <t>Aug-2026 to July-2034</t>
  </si>
  <si>
    <t>Aug-2026 to July-2035</t>
  </si>
  <si>
    <t>HPCL Invoice/Challan</t>
  </si>
  <si>
    <t>Rate</t>
  </si>
  <si>
    <t>Amount</t>
  </si>
  <si>
    <t>HSD ( Diesel )</t>
  </si>
  <si>
    <t>Particular</t>
  </si>
  <si>
    <t>Reference</t>
  </si>
  <si>
    <t>Credit</t>
  </si>
  <si>
    <t>Debit</t>
  </si>
  <si>
    <t>Balance</t>
  </si>
  <si>
    <t>Customer E Collection (ZE) MSHSD</t>
  </si>
  <si>
    <t>CLOSED</t>
  </si>
  <si>
    <t>Billing Docoment (RV) MSHSD</t>
  </si>
  <si>
    <t>Stock Value</t>
  </si>
  <si>
    <t>Parsuram Mehta July-26 Pay Tanker Opp Road</t>
  </si>
  <si>
    <t xml:space="preserve">Date : 14-Sep-2026 </t>
  </si>
</sst>
</file>

<file path=xl/styles.xml><?xml version="1.0" encoding="utf-8"?>
<styleSheet xmlns="http://schemas.openxmlformats.org/spreadsheetml/2006/main">
  <numFmts count="1">
    <numFmt numFmtId="164" formatCode="\₹#,##0.00"/>
  </numFmts>
  <fonts count="23">
    <font>
      <sz val="11"/>
      <color theme="1"/>
      <name val="Calibri"/>
      <family val="2"/>
      <scheme val="minor"/>
    </font>
    <font>
      <b/>
      <sz val="16"/>
      <color rgb="FF1F497D"/>
      <name val="Segoe UI"/>
    </font>
    <font>
      <b/>
      <sz val="11"/>
      <color rgb="FFFFFFFF"/>
      <name val="Segoe UI"/>
    </font>
    <font>
      <b/>
      <sz val="11"/>
      <name val="Segoe UI"/>
    </font>
    <font>
      <sz val="11"/>
      <name val="Segoe UI"/>
    </font>
    <font>
      <i/>
      <sz val="11"/>
      <color rgb="FF7F7F7F"/>
      <name val="Calibri"/>
      <family val="2"/>
      <scheme val="minor"/>
    </font>
    <font>
      <b/>
      <sz val="20"/>
      <color rgb="FFFFFFFF"/>
      <name val="Segoe UI"/>
      <family val="2"/>
    </font>
    <font>
      <sz val="11"/>
      <color theme="1"/>
      <name val="Segoe UI"/>
      <family val="2"/>
    </font>
    <font>
      <b/>
      <sz val="11"/>
      <color rgb="FF006100"/>
      <name val="Segoe UI"/>
      <family val="2"/>
    </font>
    <font>
      <b/>
      <sz val="11"/>
      <color rgb="FFFFFFFF"/>
      <name val="Segoe UI"/>
      <family val="2"/>
    </font>
    <font>
      <sz val="11"/>
      <name val="Segoe UI"/>
      <family val="2"/>
    </font>
    <font>
      <sz val="11"/>
      <color rgb="FF3F3F76"/>
      <name val="Segoe UI"/>
      <family val="2"/>
    </font>
    <font>
      <b/>
      <sz val="11"/>
      <name val="Segoe UI"/>
      <family val="2"/>
    </font>
    <font>
      <i/>
      <sz val="12"/>
      <color rgb="FF7F7F7F"/>
      <name val="Calibri"/>
      <family val="2"/>
      <scheme val="minor"/>
    </font>
    <font>
      <sz val="9"/>
      <color rgb="FF18212B"/>
      <name val="Segoe UI"/>
      <family val="2"/>
    </font>
    <font>
      <b/>
      <sz val="14"/>
      <color rgb="FF9C0006"/>
      <name val="Segoe UI"/>
      <family val="2"/>
    </font>
    <font>
      <sz val="11"/>
      <color rgb="FF3F3F76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Segoe UI Variable Text Semibold"/>
    </font>
    <font>
      <b/>
      <sz val="14"/>
      <color rgb="FFFFFFFF"/>
      <name val="Segoe UI"/>
      <family val="2"/>
    </font>
    <font>
      <sz val="12"/>
      <color rgb="FF1F497D"/>
      <name val="Segoe UI"/>
      <family val="2"/>
    </font>
    <font>
      <sz val="12"/>
      <color theme="1"/>
      <name val="Calibri"/>
      <family val="2"/>
      <scheme val="minor"/>
    </font>
    <font>
      <sz val="26"/>
      <color rgb="FF1F497D"/>
      <name val="Segoe UI"/>
      <family val="2"/>
    </font>
  </fonts>
  <fills count="1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8"/>
        <bgColor rgb="FFF2F5F8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1859B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double">
        <color rgb="FF000000"/>
      </bottom>
      <diagonal/>
    </border>
    <border>
      <left style="medium">
        <color indexed="64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D3D3D3"/>
      </left>
      <right style="medium">
        <color indexed="64"/>
      </right>
      <top style="thin">
        <color rgb="FFD3D3D3"/>
      </top>
      <bottom style="thin">
        <color rgb="FFD3D3D3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D3D3D3"/>
      </top>
      <bottom style="thin">
        <color rgb="FFD3D3D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double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D3D3D3"/>
      </top>
      <bottom style="thin">
        <color rgb="FFD3D3D3"/>
      </bottom>
      <diagonal/>
    </border>
    <border>
      <left style="medium">
        <color indexed="64"/>
      </left>
      <right style="medium">
        <color indexed="64"/>
      </right>
      <top style="thin">
        <color rgb="FFD3D3D3"/>
      </top>
      <bottom style="medium">
        <color indexed="64"/>
      </bottom>
      <diagonal/>
    </border>
    <border>
      <left style="medium">
        <color rgb="FFCCCCCC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16" fillId="10" borderId="40" applyNumberFormat="0" applyAlignment="0" applyProtection="0"/>
    <xf numFmtId="0" fontId="17" fillId="0" borderId="0" applyNumberFormat="0" applyFill="0" applyBorder="0" applyAlignment="0" applyProtection="0">
      <alignment vertical="top"/>
      <protection locked="0"/>
    </xf>
  </cellStyleXfs>
  <cellXfs count="134">
    <xf numFmtId="0" fontId="0" fillId="0" borderId="0" xfId="0"/>
    <xf numFmtId="0" fontId="3" fillId="3" borderId="1" xfId="0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horizontal="right" vertical="center"/>
    </xf>
    <xf numFmtId="4" fontId="4" fillId="0" borderId="2" xfId="0" applyNumberFormat="1" applyFont="1" applyBorder="1" applyAlignment="1">
      <alignment horizontal="right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0" borderId="0" xfId="0" applyBorder="1"/>
    <xf numFmtId="0" fontId="0" fillId="0" borderId="7" xfId="0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4" fillId="0" borderId="0" xfId="0" applyFont="1" applyBorder="1" applyAlignment="1">
      <alignment horizontal="center" vertical="center"/>
    </xf>
    <xf numFmtId="4" fontId="4" fillId="0" borderId="0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4" fontId="3" fillId="3" borderId="11" xfId="0" applyNumberFormat="1" applyFont="1" applyFill="1" applyBorder="1" applyAlignment="1">
      <alignment horizontal="right" vertical="center"/>
    </xf>
    <xf numFmtId="0" fontId="3" fillId="3" borderId="12" xfId="0" applyFont="1" applyFill="1" applyBorder="1" applyAlignment="1">
      <alignment horizontal="center" vertical="center"/>
    </xf>
    <xf numFmtId="164" fontId="4" fillId="0" borderId="0" xfId="0" applyNumberFormat="1" applyFont="1" applyBorder="1" applyAlignment="1">
      <alignment horizontal="right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left" vertical="center"/>
    </xf>
    <xf numFmtId="0" fontId="3" fillId="3" borderId="14" xfId="0" applyFont="1" applyFill="1" applyBorder="1" applyAlignment="1">
      <alignment horizontal="center" vertical="center"/>
    </xf>
    <xf numFmtId="4" fontId="3" fillId="3" borderId="14" xfId="0" applyNumberFormat="1" applyFont="1" applyFill="1" applyBorder="1" applyAlignment="1">
      <alignment horizontal="right" vertical="center"/>
    </xf>
    <xf numFmtId="164" fontId="3" fillId="3" borderId="14" xfId="0" applyNumberFormat="1" applyFont="1" applyFill="1" applyBorder="1" applyAlignment="1">
      <alignment horizontal="right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left" vertical="center"/>
    </xf>
    <xf numFmtId="164" fontId="3" fillId="3" borderId="18" xfId="0" applyNumberFormat="1" applyFont="1" applyFill="1" applyBorder="1" applyAlignment="1">
      <alignment horizontal="right" vertical="center"/>
    </xf>
    <xf numFmtId="0" fontId="2" fillId="2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7" fillId="0" borderId="0" xfId="0" applyFont="1"/>
    <xf numFmtId="0" fontId="9" fillId="5" borderId="22" xfId="0" applyFont="1" applyFill="1" applyBorder="1" applyAlignment="1">
      <alignment vertical="center" wrapText="1"/>
    </xf>
    <xf numFmtId="0" fontId="10" fillId="0" borderId="6" xfId="0" applyFont="1" applyBorder="1" applyAlignment="1">
      <alignment horizontal="center" vertical="center"/>
    </xf>
    <xf numFmtId="0" fontId="7" fillId="0" borderId="0" xfId="0" applyFont="1" applyBorder="1" applyAlignment="1">
      <alignment wrapText="1"/>
    </xf>
    <xf numFmtId="3" fontId="7" fillId="0" borderId="0" xfId="0" applyNumberFormat="1" applyFont="1" applyBorder="1" applyAlignment="1">
      <alignment wrapText="1"/>
    </xf>
    <xf numFmtId="0" fontId="9" fillId="5" borderId="28" xfId="0" applyFont="1" applyFill="1" applyBorder="1" applyAlignment="1">
      <alignment vertical="center" wrapText="1"/>
    </xf>
    <xf numFmtId="0" fontId="9" fillId="5" borderId="29" xfId="0" applyFont="1" applyFill="1" applyBorder="1" applyAlignment="1">
      <alignment vertical="center" wrapText="1"/>
    </xf>
    <xf numFmtId="0" fontId="11" fillId="7" borderId="7" xfId="0" applyFont="1" applyFill="1" applyBorder="1" applyAlignment="1">
      <alignment wrapText="1"/>
    </xf>
    <xf numFmtId="0" fontId="13" fillId="8" borderId="30" xfId="1" applyFont="1" applyFill="1" applyBorder="1" applyAlignment="1">
      <alignment wrapText="1"/>
    </xf>
    <xf numFmtId="0" fontId="13" fillId="8" borderId="31" xfId="1" applyFont="1" applyFill="1" applyBorder="1" applyAlignment="1">
      <alignment horizontal="center" wrapText="1"/>
    </xf>
    <xf numFmtId="0" fontId="13" fillId="8" borderId="31" xfId="1" applyFont="1" applyFill="1" applyBorder="1" applyAlignment="1">
      <alignment horizontal="right" wrapText="1"/>
    </xf>
    <xf numFmtId="0" fontId="13" fillId="8" borderId="32" xfId="1" applyFont="1" applyFill="1" applyBorder="1" applyAlignment="1">
      <alignment wrapText="1"/>
    </xf>
    <xf numFmtId="17" fontId="10" fillId="0" borderId="6" xfId="0" applyNumberFormat="1" applyFont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164" fontId="3" fillId="3" borderId="35" xfId="0" applyNumberFormat="1" applyFont="1" applyFill="1" applyBorder="1" applyAlignment="1">
      <alignment horizontal="right" vertical="center"/>
    </xf>
    <xf numFmtId="164" fontId="4" fillId="0" borderId="36" xfId="0" applyNumberFormat="1" applyFont="1" applyBorder="1" applyAlignment="1">
      <alignment horizontal="right" vertical="center"/>
    </xf>
    <xf numFmtId="164" fontId="4" fillId="0" borderId="37" xfId="0" applyNumberFormat="1" applyFont="1" applyBorder="1" applyAlignment="1">
      <alignment horizontal="right" vertical="center"/>
    </xf>
    <xf numFmtId="164" fontId="12" fillId="3" borderId="35" xfId="0" applyNumberFormat="1" applyFont="1" applyFill="1" applyBorder="1" applyAlignment="1">
      <alignment horizontal="right" vertical="center"/>
    </xf>
    <xf numFmtId="0" fontId="7" fillId="8" borderId="14" xfId="0" applyFont="1" applyFill="1" applyBorder="1" applyAlignment="1">
      <alignment wrapText="1"/>
    </xf>
    <xf numFmtId="0" fontId="13" fillId="8" borderId="38" xfId="1" applyFont="1" applyFill="1" applyBorder="1" applyAlignment="1">
      <alignment horizontal="right" wrapText="1"/>
    </xf>
    <xf numFmtId="0" fontId="13" fillId="8" borderId="39" xfId="1" applyFont="1" applyFill="1" applyBorder="1" applyAlignment="1">
      <alignment horizontal="right" wrapText="1"/>
    </xf>
    <xf numFmtId="0" fontId="7" fillId="8" borderId="13" xfId="0" applyFont="1" applyFill="1" applyBorder="1" applyAlignment="1">
      <alignment wrapText="1"/>
    </xf>
    <xf numFmtId="0" fontId="13" fillId="8" borderId="32" xfId="1" applyFont="1" applyFill="1" applyBorder="1" applyAlignment="1">
      <alignment horizontal="right" wrapText="1"/>
    </xf>
    <xf numFmtId="0" fontId="9" fillId="5" borderId="3" xfId="0" applyFont="1" applyFill="1" applyBorder="1" applyAlignment="1">
      <alignment vertical="center" wrapText="1"/>
    </xf>
    <xf numFmtId="0" fontId="9" fillId="5" borderId="4" xfId="0" applyFont="1" applyFill="1" applyBorder="1" applyAlignment="1">
      <alignment vertical="center" wrapText="1"/>
    </xf>
    <xf numFmtId="0" fontId="9" fillId="5" borderId="5" xfId="0" applyFont="1" applyFill="1" applyBorder="1" applyAlignment="1">
      <alignment vertical="center" wrapText="1"/>
    </xf>
    <xf numFmtId="0" fontId="17" fillId="3" borderId="8" xfId="3" applyFill="1" applyBorder="1" applyAlignment="1" applyProtection="1">
      <alignment horizontal="left" vertical="center"/>
    </xf>
    <xf numFmtId="0" fontId="17" fillId="0" borderId="33" xfId="3" applyBorder="1" applyAlignment="1" applyProtection="1">
      <alignment horizontal="left" vertical="center"/>
    </xf>
    <xf numFmtId="0" fontId="18" fillId="3" borderId="8" xfId="3" applyFont="1" applyFill="1" applyBorder="1" applyAlignment="1" applyProtection="1">
      <alignment horizontal="left" vertical="center"/>
    </xf>
    <xf numFmtId="0" fontId="18" fillId="0" borderId="33" xfId="3" applyFont="1" applyBorder="1" applyAlignment="1" applyProtection="1">
      <alignment horizontal="left" vertical="center"/>
    </xf>
    <xf numFmtId="0" fontId="9" fillId="11" borderId="44" xfId="0" applyFont="1" applyFill="1" applyBorder="1" applyAlignment="1">
      <alignment vertical="center"/>
    </xf>
    <xf numFmtId="0" fontId="9" fillId="11" borderId="45" xfId="0" applyFont="1" applyFill="1" applyBorder="1" applyAlignment="1">
      <alignment vertical="center"/>
    </xf>
    <xf numFmtId="0" fontId="9" fillId="11" borderId="46" xfId="0" applyFont="1" applyFill="1" applyBorder="1" applyAlignment="1">
      <alignment vertical="center"/>
    </xf>
    <xf numFmtId="0" fontId="7" fillId="0" borderId="44" xfId="0" applyFont="1" applyBorder="1" applyAlignment="1">
      <alignment vertical="center"/>
    </xf>
    <xf numFmtId="0" fontId="7" fillId="0" borderId="45" xfId="0" applyFont="1" applyBorder="1"/>
    <xf numFmtId="0" fontId="7" fillId="0" borderId="45" xfId="0" applyFont="1" applyBorder="1" applyAlignment="1">
      <alignment horizontal="left"/>
    </xf>
    <xf numFmtId="0" fontId="7" fillId="12" borderId="46" xfId="0" applyFont="1" applyFill="1" applyBorder="1" applyAlignment="1">
      <alignment vertical="center"/>
    </xf>
    <xf numFmtId="1" fontId="7" fillId="0" borderId="45" xfId="0" applyNumberFormat="1" applyFont="1" applyBorder="1" applyAlignment="1">
      <alignment horizontal="left"/>
    </xf>
    <xf numFmtId="14" fontId="7" fillId="0" borderId="44" xfId="0" applyNumberFormat="1" applyFont="1" applyBorder="1" applyAlignment="1">
      <alignment horizontal="left" vertical="center"/>
    </xf>
    <xf numFmtId="0" fontId="7" fillId="12" borderId="46" xfId="0" applyFont="1" applyFill="1" applyBorder="1" applyAlignment="1">
      <alignment horizontal="left" vertical="center"/>
    </xf>
    <xf numFmtId="0" fontId="7" fillId="0" borderId="44" xfId="0" applyFont="1" applyBorder="1" applyAlignment="1">
      <alignment horizontal="left" vertical="center"/>
    </xf>
    <xf numFmtId="1" fontId="7" fillId="0" borderId="0" xfId="0" applyNumberFormat="1" applyFont="1"/>
    <xf numFmtId="0" fontId="11" fillId="10" borderId="47" xfId="2" applyFont="1" applyBorder="1"/>
    <xf numFmtId="0" fontId="11" fillId="10" borderId="48" xfId="2" applyFont="1" applyBorder="1"/>
    <xf numFmtId="0" fontId="11" fillId="10" borderId="48" xfId="2" applyFont="1" applyBorder="1" applyAlignment="1">
      <alignment horizontal="left"/>
    </xf>
    <xf numFmtId="1" fontId="11" fillId="10" borderId="48" xfId="2" applyNumberFormat="1" applyFont="1" applyBorder="1" applyAlignment="1">
      <alignment horizontal="left"/>
    </xf>
    <xf numFmtId="0" fontId="11" fillId="10" borderId="49" xfId="2" applyFont="1" applyBorder="1"/>
    <xf numFmtId="0" fontId="9" fillId="2" borderId="4" xfId="0" applyFont="1" applyFill="1" applyBorder="1" applyAlignment="1">
      <alignment horizontal="center" vertical="center"/>
    </xf>
    <xf numFmtId="3" fontId="13" fillId="8" borderId="31" xfId="1" applyNumberFormat="1" applyFont="1" applyFill="1" applyBorder="1" applyAlignment="1">
      <alignment horizontal="right" wrapText="1"/>
    </xf>
    <xf numFmtId="3" fontId="13" fillId="8" borderId="31" xfId="1" applyNumberFormat="1" applyFont="1" applyFill="1" applyBorder="1" applyAlignment="1">
      <alignment horizontal="center" wrapText="1"/>
    </xf>
    <xf numFmtId="4" fontId="0" fillId="0" borderId="0" xfId="0" applyNumberFormat="1"/>
    <xf numFmtId="0" fontId="4" fillId="0" borderId="0" xfId="0" applyFont="1" applyBorder="1" applyAlignment="1">
      <alignment horizontal="right" vertical="center"/>
    </xf>
    <xf numFmtId="0" fontId="7" fillId="9" borderId="10" xfId="0" applyFont="1" applyFill="1" applyBorder="1" applyAlignment="1">
      <alignment wrapText="1"/>
    </xf>
    <xf numFmtId="0" fontId="7" fillId="9" borderId="11" xfId="0" applyFont="1" applyFill="1" applyBorder="1" applyAlignment="1">
      <alignment wrapText="1"/>
    </xf>
    <xf numFmtId="0" fontId="15" fillId="9" borderId="11" xfId="0" applyFont="1" applyFill="1" applyBorder="1" applyAlignment="1">
      <alignment horizontal="right" wrapText="1"/>
    </xf>
    <xf numFmtId="0" fontId="7" fillId="9" borderId="12" xfId="0" applyFont="1" applyFill="1" applyBorder="1" applyAlignment="1">
      <alignment wrapText="1"/>
    </xf>
    <xf numFmtId="0" fontId="7" fillId="13" borderId="45" xfId="0" applyFont="1" applyFill="1" applyBorder="1" applyAlignment="1">
      <alignment wrapText="1"/>
    </xf>
    <xf numFmtId="0" fontId="14" fillId="13" borderId="45" xfId="0" applyFont="1" applyFill="1" applyBorder="1" applyAlignment="1">
      <alignment horizontal="right" wrapText="1"/>
    </xf>
    <xf numFmtId="0" fontId="7" fillId="13" borderId="45" xfId="0" applyFont="1" applyFill="1" applyBorder="1" applyAlignment="1">
      <alignment horizontal="right" wrapText="1"/>
    </xf>
    <xf numFmtId="15" fontId="7" fillId="13" borderId="44" xfId="0" applyNumberFormat="1" applyFont="1" applyFill="1" applyBorder="1" applyAlignment="1">
      <alignment horizontal="left" wrapText="1"/>
    </xf>
    <xf numFmtId="0" fontId="7" fillId="13" borderId="46" xfId="0" applyFont="1" applyFill="1" applyBorder="1" applyAlignment="1">
      <alignment wrapText="1"/>
    </xf>
    <xf numFmtId="14" fontId="7" fillId="13" borderId="44" xfId="0" applyNumberFormat="1" applyFont="1" applyFill="1" applyBorder="1" applyAlignment="1">
      <alignment horizontal="left" vertical="center" wrapText="1"/>
    </xf>
    <xf numFmtId="0" fontId="7" fillId="13" borderId="44" xfId="0" applyFont="1" applyFill="1" applyBorder="1" applyAlignment="1">
      <alignment horizontal="left" vertical="center" wrapText="1"/>
    </xf>
    <xf numFmtId="0" fontId="7" fillId="13" borderId="46" xfId="0" applyFont="1" applyFill="1" applyBorder="1" applyAlignment="1">
      <alignment vertical="center" wrapText="1"/>
    </xf>
    <xf numFmtId="0" fontId="7" fillId="13" borderId="44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6" fillId="8" borderId="13" xfId="0" applyFont="1" applyFill="1" applyBorder="1" applyAlignment="1">
      <alignment horizontal="center" vertical="center" wrapText="1"/>
    </xf>
    <xf numFmtId="0" fontId="6" fillId="8" borderId="14" xfId="0" applyFont="1" applyFill="1" applyBorder="1" applyAlignment="1">
      <alignment horizontal="center" vertical="center" wrapText="1"/>
    </xf>
    <xf numFmtId="0" fontId="6" fillId="8" borderId="15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/>
    </xf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19" fillId="11" borderId="41" xfId="0" applyFont="1" applyFill="1" applyBorder="1" applyAlignment="1">
      <alignment horizontal="center" vertical="center"/>
    </xf>
    <xf numFmtId="0" fontId="7" fillId="0" borderId="42" xfId="0" applyFont="1" applyBorder="1" applyAlignment="1">
      <alignment horizontal="center"/>
    </xf>
    <xf numFmtId="0" fontId="7" fillId="0" borderId="43" xfId="0" applyFont="1" applyBorder="1" applyAlignment="1">
      <alignment horizont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6" fillId="4" borderId="23" xfId="0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0" fontId="6" fillId="4" borderId="25" xfId="0" applyFont="1" applyFill="1" applyBorder="1" applyAlignment="1">
      <alignment horizontal="center" vertical="center" wrapText="1"/>
    </xf>
    <xf numFmtId="0" fontId="8" fillId="6" borderId="26" xfId="0" applyFont="1" applyFill="1" applyBorder="1" applyAlignment="1">
      <alignment horizontal="center" vertical="center" wrapText="1"/>
    </xf>
    <xf numFmtId="0" fontId="8" fillId="6" borderId="21" xfId="0" applyFont="1" applyFill="1" applyBorder="1" applyAlignment="1">
      <alignment horizontal="center" vertical="center" wrapText="1"/>
    </xf>
    <xf numFmtId="0" fontId="8" fillId="6" borderId="27" xfId="0" applyFont="1" applyFill="1" applyBorder="1" applyAlignment="1">
      <alignment horizontal="center" vertical="center" wrapText="1"/>
    </xf>
    <xf numFmtId="0" fontId="20" fillId="4" borderId="6" xfId="0" applyFont="1" applyFill="1" applyBorder="1" applyAlignment="1">
      <alignment horizontal="left" vertical="center"/>
    </xf>
    <xf numFmtId="0" fontId="20" fillId="4" borderId="0" xfId="0" applyFont="1" applyFill="1" applyBorder="1" applyAlignment="1">
      <alignment horizontal="center" vertical="center"/>
    </xf>
    <xf numFmtId="0" fontId="20" fillId="4" borderId="7" xfId="0" applyFont="1" applyFill="1" applyBorder="1" applyAlignment="1">
      <alignment horizontal="center" vertical="center"/>
    </xf>
    <xf numFmtId="0" fontId="21" fillId="0" borderId="0" xfId="0" applyFont="1"/>
    <xf numFmtId="0" fontId="22" fillId="4" borderId="13" xfId="0" applyFont="1" applyFill="1" applyBorder="1" applyAlignment="1">
      <alignment horizontal="center" vertical="center"/>
    </xf>
    <xf numFmtId="0" fontId="22" fillId="4" borderId="14" xfId="0" applyFont="1" applyFill="1" applyBorder="1" applyAlignment="1">
      <alignment horizontal="center" vertical="center"/>
    </xf>
    <xf numFmtId="0" fontId="22" fillId="4" borderId="15" xfId="0" applyFont="1" applyFill="1" applyBorder="1" applyAlignment="1">
      <alignment horizontal="center" vertical="center"/>
    </xf>
    <xf numFmtId="0" fontId="18" fillId="0" borderId="6" xfId="3" applyFont="1" applyBorder="1" applyAlignment="1" applyProtection="1"/>
  </cellXfs>
  <cellStyles count="4">
    <cellStyle name="Explanatory Text" xfId="1" builtinId="53"/>
    <cellStyle name="Hyperlink" xfId="3" builtinId="8"/>
    <cellStyle name="Input" xfId="2" builtinId="20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5"/>
  <c:chart>
    <c:title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Deshbord!$B$1:$B$3</c:f>
              <c:strCache>
                <c:ptCount val="1"/>
                <c:pt idx="0">
                  <c:v>VANSHIDHAR PETROLEUM - HPCL PANSA Date : 14-Sep-2026  Amount Value (INR)</c:v>
                </c:pt>
              </c:strCache>
            </c:strRef>
          </c:tx>
          <c:dLbls>
            <c:showVal val="1"/>
          </c:dLbls>
          <c:cat>
            <c:strRef>
              <c:f>Deshbord!$A$4:$A$18</c:f>
              <c:strCache>
                <c:ptCount val="15"/>
                <c:pt idx="0">
                  <c:v>Total Sales</c:v>
                </c:pt>
                <c:pt idx="1">
                  <c:v>Total Purchase</c:v>
                </c:pt>
                <c:pt idx="2">
                  <c:v>Account Balance (SBI CC)</c:v>
                </c:pt>
                <c:pt idx="3">
                  <c:v>Total Expense</c:v>
                </c:pt>
                <c:pt idx="4">
                  <c:v>Total Staff Payment</c:v>
                </c:pt>
                <c:pt idx="5">
                  <c:v>Total Debit Interest</c:v>
                </c:pt>
                <c:pt idx="6">
                  <c:v>Owner Debit (Ashwini Kumar Singh)</c:v>
                </c:pt>
                <c:pt idx="7">
                  <c:v>Other Party Debit Summary</c:v>
                </c:pt>
                <c:pt idx="8">
                  <c:v>HPCL Credit Balance</c:v>
                </c:pt>
                <c:pt idx="9">
                  <c:v>Total Oil Stock Value</c:v>
                </c:pt>
                <c:pt idx="10">
                  <c:v>Total Kharch &amp; Stock Combined</c:v>
                </c:pt>
                <c:pt idx="11">
                  <c:v>Account Credit Total</c:v>
                </c:pt>
                <c:pt idx="12">
                  <c:v>Total Debit Account Summary</c:v>
                </c:pt>
                <c:pt idx="13">
                  <c:v>Balance Account Framework</c:v>
                </c:pt>
                <c:pt idx="14">
                  <c:v>Net Operational Profit / Loss</c:v>
                </c:pt>
              </c:strCache>
            </c:strRef>
          </c:cat>
          <c:val>
            <c:numRef>
              <c:f>Deshbord!$B$4:$B$18</c:f>
              <c:numCache>
                <c:formatCode>\₹#,##0.00</c:formatCode>
                <c:ptCount val="15"/>
                <c:pt idx="0">
                  <c:v>1002466.4838</c:v>
                </c:pt>
                <c:pt idx="1">
                  <c:v>2638253.2000000002</c:v>
                </c:pt>
                <c:pt idx="2">
                  <c:v>738194.83999999985</c:v>
                </c:pt>
                <c:pt idx="3">
                  <c:v>8510</c:v>
                </c:pt>
                <c:pt idx="4">
                  <c:v>28190</c:v>
                </c:pt>
                <c:pt idx="5">
                  <c:v>35852</c:v>
                </c:pt>
                <c:pt idx="6">
                  <c:v>69791</c:v>
                </c:pt>
                <c:pt idx="7">
                  <c:v>438103</c:v>
                </c:pt>
                <c:pt idx="8">
                  <c:v>25007.229999999981</c:v>
                </c:pt>
                <c:pt idx="9">
                  <c:v>1715758.5733</c:v>
                </c:pt>
                <c:pt idx="10">
                  <c:v>3059406.6432999996</c:v>
                </c:pt>
                <c:pt idx="11">
                  <c:v>4318000</c:v>
                </c:pt>
                <c:pt idx="12">
                  <c:v>1300000</c:v>
                </c:pt>
                <c:pt idx="13">
                  <c:v>3018000</c:v>
                </c:pt>
                <c:pt idx="14">
                  <c:v>41406.643299999647</c:v>
                </c:pt>
              </c:numCache>
            </c:numRef>
          </c:val>
        </c:ser>
        <c:gapWidth val="0"/>
        <c:axId val="131301760"/>
        <c:axId val="131287296"/>
      </c:barChart>
      <c:valAx>
        <c:axId val="131287296"/>
        <c:scaling>
          <c:orientation val="minMax"/>
        </c:scaling>
        <c:axPos val="b"/>
        <c:title>
          <c:layout/>
        </c:title>
        <c:numFmt formatCode="\₹#,##0.00" sourceLinked="1"/>
        <c:tickLblPos val="nextTo"/>
        <c:crossAx val="131301760"/>
        <c:crosses val="autoZero"/>
        <c:crossBetween val="between"/>
      </c:valAx>
      <c:catAx>
        <c:axId val="131301760"/>
        <c:scaling>
          <c:orientation val="minMax"/>
        </c:scaling>
        <c:axPos val="l"/>
        <c:title>
          <c:layout/>
        </c:title>
        <c:majorTickMark val="none"/>
        <c:tickLblPos val="nextTo"/>
        <c:crossAx val="131287296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5.6108918624960752E-3"/>
          <c:y val="1.3778555458345483E-2"/>
        </c:manualLayout>
      </c:layout>
    </c:title>
    <c:plotArea>
      <c:layout>
        <c:manualLayout>
          <c:layoutTarget val="inner"/>
          <c:xMode val="edge"/>
          <c:yMode val="edge"/>
          <c:x val="0.14225449288197337"/>
          <c:y val="0.12491329699439598"/>
          <c:w val="0.24227352979579789"/>
          <c:h val="0.87508670300560398"/>
        </c:manualLayout>
      </c:layout>
      <c:ofPieChart>
        <c:ofPieType val="bar"/>
        <c:varyColors val="1"/>
        <c:ser>
          <c:idx val="0"/>
          <c:order val="0"/>
          <c:tx>
            <c:strRef>
              <c:f>Deshbord!$B$1:$B$3</c:f>
              <c:strCache>
                <c:ptCount val="1"/>
                <c:pt idx="0">
                  <c:v>VANSHIDHAR PETROLEUM - HPCL PANSA Date : 14-Sep-2026  Amount Value (INR)</c:v>
                </c:pt>
              </c:strCache>
            </c:strRef>
          </c:tx>
          <c:explosion val="17"/>
          <c:dLbls>
            <c:showVal val="1"/>
            <c:showLeaderLines val="1"/>
          </c:dLbls>
          <c:cat>
            <c:strRef>
              <c:f>Deshbord!$A$4:$A$18</c:f>
              <c:strCache>
                <c:ptCount val="15"/>
                <c:pt idx="0">
                  <c:v>Total Sales</c:v>
                </c:pt>
                <c:pt idx="1">
                  <c:v>Total Purchase</c:v>
                </c:pt>
                <c:pt idx="2">
                  <c:v>Account Balance (SBI CC)</c:v>
                </c:pt>
                <c:pt idx="3">
                  <c:v>Total Expense</c:v>
                </c:pt>
                <c:pt idx="4">
                  <c:v>Total Staff Payment</c:v>
                </c:pt>
                <c:pt idx="5">
                  <c:v>Total Debit Interest</c:v>
                </c:pt>
                <c:pt idx="6">
                  <c:v>Owner Debit (Ashwini Kumar Singh)</c:v>
                </c:pt>
                <c:pt idx="7">
                  <c:v>Other Party Debit Summary</c:v>
                </c:pt>
                <c:pt idx="8">
                  <c:v>HPCL Credit Balance</c:v>
                </c:pt>
                <c:pt idx="9">
                  <c:v>Total Oil Stock Value</c:v>
                </c:pt>
                <c:pt idx="10">
                  <c:v>Total Kharch &amp; Stock Combined</c:v>
                </c:pt>
                <c:pt idx="11">
                  <c:v>Account Credit Total</c:v>
                </c:pt>
                <c:pt idx="12">
                  <c:v>Total Debit Account Summary</c:v>
                </c:pt>
                <c:pt idx="13">
                  <c:v>Balance Account Framework</c:v>
                </c:pt>
                <c:pt idx="14">
                  <c:v>Net Operational Profit / Loss</c:v>
                </c:pt>
              </c:strCache>
            </c:strRef>
          </c:cat>
          <c:val>
            <c:numRef>
              <c:f>Deshbord!$B$4:$B$18</c:f>
              <c:numCache>
                <c:formatCode>\₹#,##0.00</c:formatCode>
                <c:ptCount val="15"/>
                <c:pt idx="0">
                  <c:v>1002466.4838</c:v>
                </c:pt>
                <c:pt idx="1">
                  <c:v>2638253.2000000002</c:v>
                </c:pt>
                <c:pt idx="2">
                  <c:v>738194.83999999985</c:v>
                </c:pt>
                <c:pt idx="3">
                  <c:v>8510</c:v>
                </c:pt>
                <c:pt idx="4">
                  <c:v>28190</c:v>
                </c:pt>
                <c:pt idx="5">
                  <c:v>35852</c:v>
                </c:pt>
                <c:pt idx="6">
                  <c:v>69791</c:v>
                </c:pt>
                <c:pt idx="7">
                  <c:v>438103</c:v>
                </c:pt>
                <c:pt idx="8">
                  <c:v>25007.229999999981</c:v>
                </c:pt>
                <c:pt idx="9">
                  <c:v>1715758.5733</c:v>
                </c:pt>
                <c:pt idx="10">
                  <c:v>3059406.6432999996</c:v>
                </c:pt>
                <c:pt idx="11">
                  <c:v>4318000</c:v>
                </c:pt>
                <c:pt idx="12">
                  <c:v>1300000</c:v>
                </c:pt>
                <c:pt idx="13">
                  <c:v>3018000</c:v>
                </c:pt>
                <c:pt idx="14">
                  <c:v>41406.643299999647</c:v>
                </c:pt>
              </c:numCache>
            </c:numRef>
          </c:val>
        </c:ser>
        <c:gapWidth val="150"/>
        <c:secondPieSize val="75"/>
        <c:serLines/>
      </c:ofPieChart>
    </c:plotArea>
    <c:legend>
      <c:legendPos val="r"/>
      <c:layout>
        <c:manualLayout>
          <c:xMode val="edge"/>
          <c:yMode val="edge"/>
          <c:x val="0.74120596726603227"/>
          <c:y val="4.2966573622741609E-2"/>
          <c:w val="0.24511386903694515"/>
          <c:h val="0.95008901665069645"/>
        </c:manualLayout>
      </c:layout>
      <c:txPr>
        <a:bodyPr/>
        <a:lstStyle/>
        <a:p>
          <a:pPr>
            <a:defRPr cap="all" baseline="0">
              <a:latin typeface="Bell MT" pitchFamily="18" charset="0"/>
            </a:defRPr>
          </a:pPr>
          <a:endParaRPr lang="en-US"/>
        </a:p>
      </c:txPr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2</xdr:row>
      <xdr:rowOff>19050</xdr:rowOff>
    </xdr:from>
    <xdr:to>
      <xdr:col>8</xdr:col>
      <xdr:colOff>523875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133349</xdr:colOff>
      <xdr:row>18</xdr:row>
      <xdr:rowOff>0</xdr:rowOff>
    </xdr:from>
    <xdr:to>
      <xdr:col>8</xdr:col>
      <xdr:colOff>514350</xdr:colOff>
      <xdr:row>36</xdr:row>
      <xdr:rowOff>171450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I46" sqref="I46"/>
    </sheetView>
  </sheetViews>
  <sheetFormatPr defaultRowHeight="15"/>
  <cols>
    <col min="1" max="1" width="58.140625" customWidth="1"/>
    <col min="2" max="2" width="41.28515625" customWidth="1"/>
    <col min="9" max="9" width="8" customWidth="1"/>
  </cols>
  <sheetData>
    <row r="1" spans="1:9" ht="35.1" customHeight="1" thickBot="1">
      <c r="A1" s="130" t="s">
        <v>257</v>
      </c>
      <c r="B1" s="131"/>
      <c r="C1" s="131"/>
      <c r="D1" s="131"/>
      <c r="E1" s="131"/>
      <c r="F1" s="131"/>
      <c r="G1" s="131"/>
      <c r="H1" s="131"/>
      <c r="I1" s="132"/>
    </row>
    <row r="2" spans="1:9" s="129" customFormat="1" ht="16.5" customHeight="1" thickBot="1">
      <c r="A2" s="126" t="s">
        <v>306</v>
      </c>
      <c r="B2" s="127"/>
      <c r="C2" s="127"/>
      <c r="D2" s="127"/>
      <c r="E2" s="127"/>
      <c r="F2" s="127"/>
      <c r="G2" s="127"/>
      <c r="H2" s="127"/>
      <c r="I2" s="128"/>
    </row>
    <row r="3" spans="1:9" ht="24.95" customHeight="1">
      <c r="A3" s="6" t="s">
        <v>0</v>
      </c>
      <c r="B3" s="54" t="s">
        <v>1</v>
      </c>
      <c r="C3" s="8"/>
      <c r="D3" s="8"/>
      <c r="E3" s="8"/>
      <c r="F3" s="8"/>
      <c r="G3" s="8"/>
      <c r="H3" s="8"/>
      <c r="I3" s="9"/>
    </row>
    <row r="4" spans="1:9" ht="20.100000000000001" customHeight="1" thickBot="1">
      <c r="A4" s="133" t="s">
        <v>2</v>
      </c>
      <c r="B4" s="55">
        <f>+'Nozzle Sales Logs'!F64</f>
        <v>1002466.4838</v>
      </c>
      <c r="C4" s="8"/>
      <c r="D4" s="8"/>
      <c r="E4" s="8"/>
      <c r="F4" s="8"/>
      <c r="G4" s="8"/>
      <c r="H4" s="8"/>
      <c r="I4" s="9"/>
    </row>
    <row r="5" spans="1:9" ht="20.100000000000001" customHeight="1" thickTop="1" thickBot="1">
      <c r="A5" s="69" t="s">
        <v>3</v>
      </c>
      <c r="B5" s="55">
        <f>+'Oil Purchage'!F14</f>
        <v>2638253.2000000002</v>
      </c>
      <c r="C5" s="8"/>
      <c r="D5" s="8"/>
      <c r="E5" s="8"/>
      <c r="F5" s="8"/>
      <c r="G5" s="8"/>
      <c r="H5" s="8"/>
      <c r="I5" s="9"/>
    </row>
    <row r="6" spans="1:9" ht="20.100000000000001" customHeight="1" thickTop="1" thickBot="1">
      <c r="A6" s="69" t="s">
        <v>4</v>
      </c>
      <c r="B6" s="58">
        <f>+'SBI CC Bank Ledger'!F45</f>
        <v>738194.83999999985</v>
      </c>
      <c r="C6" s="8"/>
      <c r="D6" s="8"/>
      <c r="E6" s="8"/>
      <c r="F6" s="8"/>
      <c r="G6" s="8"/>
      <c r="H6" s="8"/>
      <c r="I6" s="9"/>
    </row>
    <row r="7" spans="1:9" ht="20.100000000000001" customHeight="1" thickTop="1" thickBot="1">
      <c r="A7" s="69" t="s">
        <v>5</v>
      </c>
      <c r="B7" s="55">
        <f>+'Pump Miscellaneous Costs'!D19</f>
        <v>8510</v>
      </c>
      <c r="C7" s="8"/>
      <c r="D7" s="8"/>
      <c r="E7" s="8"/>
      <c r="F7" s="8"/>
      <c r="G7" s="8"/>
      <c r="H7" s="8"/>
      <c r="I7" s="9"/>
    </row>
    <row r="8" spans="1:9" ht="20.100000000000001" customHeight="1" thickTop="1" thickBot="1">
      <c r="A8" s="69" t="s">
        <v>6</v>
      </c>
      <c r="B8" s="55">
        <f>+'Staff Wages Ledger'!D27</f>
        <v>28190</v>
      </c>
      <c r="C8" s="8"/>
      <c r="D8" s="8"/>
      <c r="E8" s="8"/>
      <c r="F8" s="8"/>
      <c r="G8" s="8"/>
      <c r="H8" s="8"/>
      <c r="I8" s="9"/>
    </row>
    <row r="9" spans="1:9" ht="20.100000000000001" customHeight="1" thickTop="1" thickBot="1">
      <c r="A9" s="69" t="s">
        <v>7</v>
      </c>
      <c r="B9" s="55">
        <f>+'Debit Interest Book'!D18</f>
        <v>35852</v>
      </c>
      <c r="C9" s="8"/>
      <c r="D9" s="8"/>
      <c r="E9" s="8"/>
      <c r="F9" s="8"/>
      <c r="G9" s="8"/>
      <c r="H9" s="8"/>
      <c r="I9" s="9"/>
    </row>
    <row r="10" spans="1:9" ht="20.100000000000001" customHeight="1" thickTop="1">
      <c r="A10" s="70" t="s">
        <v>280</v>
      </c>
      <c r="B10" s="56">
        <f>+'Owner Personal Book'!E45</f>
        <v>69791</v>
      </c>
      <c r="C10" s="8"/>
      <c r="D10" s="8"/>
      <c r="E10" s="8"/>
      <c r="F10" s="8"/>
      <c r="G10" s="8"/>
      <c r="H10" s="8"/>
      <c r="I10" s="9"/>
    </row>
    <row r="11" spans="1:9" ht="20.100000000000001" customHeight="1" thickBot="1">
      <c r="A11" s="69" t="s">
        <v>8</v>
      </c>
      <c r="B11" s="58">
        <f>+'Party Credit Accounts'!E61</f>
        <v>438103</v>
      </c>
      <c r="C11" s="8"/>
      <c r="D11" s="8"/>
      <c r="E11" s="8"/>
      <c r="F11" s="8"/>
      <c r="G11" s="8"/>
      <c r="H11" s="8"/>
      <c r="I11" s="9"/>
    </row>
    <row r="12" spans="1:9" ht="20.100000000000001" customHeight="1" thickTop="1" thickBot="1">
      <c r="A12" s="67" t="s">
        <v>9</v>
      </c>
      <c r="B12" s="55">
        <f>+'HPCL '!F17</f>
        <v>25007.229999999981</v>
      </c>
      <c r="C12" s="8"/>
      <c r="D12" s="8"/>
      <c r="E12" s="8"/>
      <c r="F12" s="8"/>
      <c r="G12" s="8"/>
      <c r="H12" s="8"/>
      <c r="I12" s="9"/>
    </row>
    <row r="13" spans="1:9" ht="20.100000000000001" customHeight="1" thickTop="1" thickBot="1">
      <c r="A13" s="69" t="s">
        <v>10</v>
      </c>
      <c r="B13" s="55">
        <f>+'Fuel Stock Ledger'!F40</f>
        <v>1715758.5733</v>
      </c>
      <c r="C13" s="8"/>
      <c r="D13" s="8"/>
      <c r="E13" s="8"/>
      <c r="F13" s="8"/>
      <c r="G13" s="8"/>
      <c r="H13" s="8"/>
      <c r="I13" s="9"/>
    </row>
    <row r="14" spans="1:9" ht="20.100000000000001" customHeight="1" thickTop="1" thickBot="1">
      <c r="A14" s="67" t="s">
        <v>11</v>
      </c>
      <c r="B14" s="55">
        <f>+B13+B12+B11+B10+B9+B8+B7+B6</f>
        <v>3059406.6432999996</v>
      </c>
      <c r="C14" s="8"/>
      <c r="D14" s="8"/>
      <c r="E14" s="8"/>
      <c r="F14" s="8"/>
      <c r="G14" s="8"/>
      <c r="H14" s="8"/>
      <c r="I14" s="9"/>
    </row>
    <row r="15" spans="1:9" ht="20.100000000000001" customHeight="1" thickTop="1" thickBot="1">
      <c r="A15" s="67" t="s">
        <v>12</v>
      </c>
      <c r="B15" s="55">
        <f>3000000+918000+400000</f>
        <v>4318000</v>
      </c>
      <c r="C15" s="8"/>
      <c r="D15" s="8"/>
      <c r="E15" s="8"/>
      <c r="F15" s="8"/>
      <c r="G15" s="8"/>
      <c r="H15" s="8"/>
      <c r="I15" s="9"/>
    </row>
    <row r="16" spans="1:9" ht="20.100000000000001" customHeight="1" thickTop="1" thickBot="1">
      <c r="A16" s="67" t="s">
        <v>13</v>
      </c>
      <c r="B16" s="55">
        <v>1300000</v>
      </c>
      <c r="C16" s="8"/>
      <c r="D16" s="8"/>
      <c r="E16" s="8"/>
      <c r="F16" s="8"/>
      <c r="G16" s="8"/>
      <c r="H16" s="8"/>
      <c r="I16" s="9"/>
    </row>
    <row r="17" spans="1:9" ht="20.100000000000001" customHeight="1" thickTop="1" thickBot="1">
      <c r="A17" s="67" t="s">
        <v>14</v>
      </c>
      <c r="B17" s="55">
        <f>+B15-B16</f>
        <v>3018000</v>
      </c>
      <c r="C17" s="8"/>
      <c r="D17" s="8"/>
      <c r="E17" s="8"/>
      <c r="F17" s="8"/>
      <c r="G17" s="8"/>
      <c r="H17" s="8"/>
      <c r="I17" s="9"/>
    </row>
    <row r="18" spans="1:9" ht="20.100000000000001" customHeight="1" thickTop="1" thickBot="1">
      <c r="A18" s="68" t="s">
        <v>15</v>
      </c>
      <c r="B18" s="57">
        <f>+B14-B17</f>
        <v>41406.643299999647</v>
      </c>
      <c r="C18" s="8"/>
      <c r="D18" s="8"/>
      <c r="E18" s="8"/>
      <c r="F18" s="8"/>
      <c r="G18" s="8"/>
      <c r="H18" s="8"/>
      <c r="I18" s="9"/>
    </row>
    <row r="19" spans="1:9">
      <c r="A19" s="10"/>
      <c r="B19" s="8"/>
      <c r="C19" s="8"/>
      <c r="D19" s="8"/>
      <c r="E19" s="8"/>
      <c r="F19" s="8"/>
      <c r="G19" s="8"/>
      <c r="H19" s="8"/>
      <c r="I19" s="9"/>
    </row>
    <row r="20" spans="1:9">
      <c r="A20" s="10"/>
      <c r="B20" s="8"/>
      <c r="C20" s="8"/>
      <c r="D20" s="8"/>
      <c r="E20" s="8"/>
      <c r="F20" s="8"/>
      <c r="G20" s="8"/>
      <c r="H20" s="8"/>
      <c r="I20" s="9"/>
    </row>
    <row r="21" spans="1:9">
      <c r="A21" s="10"/>
      <c r="B21" s="8"/>
      <c r="C21" s="8"/>
      <c r="D21" s="8"/>
      <c r="E21" s="8"/>
      <c r="F21" s="8"/>
      <c r="G21" s="8"/>
      <c r="H21" s="8"/>
      <c r="I21" s="9"/>
    </row>
    <row r="22" spans="1:9">
      <c r="A22" s="10"/>
      <c r="B22" s="8"/>
      <c r="C22" s="8"/>
      <c r="D22" s="8"/>
      <c r="E22" s="8"/>
      <c r="F22" s="8"/>
      <c r="G22" s="8"/>
      <c r="H22" s="8"/>
      <c r="I22" s="9"/>
    </row>
    <row r="23" spans="1:9">
      <c r="A23" s="10"/>
      <c r="B23" s="8"/>
      <c r="C23" s="8"/>
      <c r="D23" s="8"/>
      <c r="E23" s="8"/>
      <c r="F23" s="8"/>
      <c r="G23" s="8"/>
      <c r="H23" s="8"/>
      <c r="I23" s="9"/>
    </row>
    <row r="24" spans="1:9">
      <c r="A24" s="10"/>
      <c r="B24" s="8"/>
      <c r="C24" s="8"/>
      <c r="D24" s="8"/>
      <c r="E24" s="8"/>
      <c r="F24" s="8"/>
      <c r="G24" s="8"/>
      <c r="H24" s="8"/>
      <c r="I24" s="9"/>
    </row>
    <row r="25" spans="1:9">
      <c r="A25" s="10"/>
      <c r="B25" s="8"/>
      <c r="C25" s="8"/>
      <c r="D25" s="8"/>
      <c r="E25" s="8"/>
      <c r="F25" s="8"/>
      <c r="G25" s="8"/>
      <c r="H25" s="8"/>
      <c r="I25" s="9"/>
    </row>
    <row r="26" spans="1:9">
      <c r="A26" s="10"/>
      <c r="B26" s="8"/>
      <c r="C26" s="8"/>
      <c r="D26" s="8"/>
      <c r="E26" s="8"/>
      <c r="F26" s="8"/>
      <c r="G26" s="8"/>
      <c r="H26" s="8"/>
      <c r="I26" s="9"/>
    </row>
    <row r="27" spans="1:9">
      <c r="A27" s="10"/>
      <c r="B27" s="8"/>
      <c r="C27" s="8"/>
      <c r="D27" s="8"/>
      <c r="E27" s="8"/>
      <c r="F27" s="8"/>
      <c r="G27" s="8"/>
      <c r="H27" s="8"/>
      <c r="I27" s="9"/>
    </row>
    <row r="28" spans="1:9">
      <c r="A28" s="10"/>
      <c r="B28" s="8"/>
      <c r="C28" s="8"/>
      <c r="D28" s="8"/>
      <c r="E28" s="8"/>
      <c r="F28" s="8"/>
      <c r="G28" s="8"/>
      <c r="H28" s="8"/>
      <c r="I28" s="9"/>
    </row>
    <row r="29" spans="1:9">
      <c r="A29" s="10"/>
      <c r="B29" s="8"/>
      <c r="C29" s="8"/>
      <c r="D29" s="8"/>
      <c r="E29" s="8"/>
      <c r="F29" s="8"/>
      <c r="G29" s="8"/>
      <c r="H29" s="8"/>
      <c r="I29" s="9"/>
    </row>
    <row r="30" spans="1:9">
      <c r="A30" s="10"/>
      <c r="B30" s="8"/>
      <c r="C30" s="8"/>
      <c r="D30" s="8"/>
      <c r="E30" s="8"/>
      <c r="F30" s="8"/>
      <c r="G30" s="8"/>
      <c r="H30" s="8"/>
      <c r="I30" s="9"/>
    </row>
    <row r="31" spans="1:9">
      <c r="A31" s="10"/>
      <c r="B31" s="8"/>
      <c r="C31" s="8"/>
      <c r="D31" s="8"/>
      <c r="E31" s="8"/>
      <c r="F31" s="8"/>
      <c r="G31" s="8"/>
      <c r="H31" s="8"/>
      <c r="I31" s="9"/>
    </row>
    <row r="32" spans="1:9">
      <c r="A32" s="10"/>
      <c r="B32" s="8"/>
      <c r="C32" s="8"/>
      <c r="D32" s="8"/>
      <c r="E32" s="8"/>
      <c r="F32" s="8"/>
      <c r="G32" s="8"/>
      <c r="H32" s="8"/>
      <c r="I32" s="9"/>
    </row>
    <row r="33" spans="1:9">
      <c r="A33" s="10"/>
      <c r="B33" s="8"/>
      <c r="C33" s="8"/>
      <c r="D33" s="8"/>
      <c r="E33" s="8"/>
      <c r="F33" s="8"/>
      <c r="G33" s="8"/>
      <c r="H33" s="8"/>
      <c r="I33" s="9"/>
    </row>
    <row r="34" spans="1:9">
      <c r="A34" s="10"/>
      <c r="B34" s="8"/>
      <c r="C34" s="8"/>
      <c r="D34" s="8"/>
      <c r="E34" s="8"/>
      <c r="F34" s="8"/>
      <c r="G34" s="8"/>
      <c r="H34" s="8"/>
      <c r="I34" s="9"/>
    </row>
    <row r="35" spans="1:9">
      <c r="A35" s="10"/>
      <c r="B35" s="8"/>
      <c r="C35" s="8"/>
      <c r="D35" s="8"/>
      <c r="E35" s="8"/>
      <c r="F35" s="8"/>
      <c r="G35" s="8"/>
      <c r="H35" s="8"/>
      <c r="I35" s="9"/>
    </row>
    <row r="36" spans="1:9">
      <c r="A36" s="10"/>
      <c r="B36" s="8"/>
      <c r="C36" s="8"/>
      <c r="D36" s="8"/>
      <c r="E36" s="8"/>
      <c r="F36" s="8"/>
      <c r="G36" s="8"/>
      <c r="H36" s="8"/>
      <c r="I36" s="9"/>
    </row>
    <row r="37" spans="1:9" ht="15.75" thickBot="1">
      <c r="A37" s="11"/>
      <c r="B37" s="12"/>
      <c r="C37" s="12"/>
      <c r="D37" s="12"/>
      <c r="E37" s="12"/>
      <c r="F37" s="12"/>
      <c r="G37" s="12"/>
      <c r="H37" s="12"/>
      <c r="I37" s="13"/>
    </row>
  </sheetData>
  <mergeCells count="1">
    <mergeCell ref="A1:I1"/>
  </mergeCells>
  <hyperlinks>
    <hyperlink ref="A5" location="'Oil Purchage'!A1" display="Total Purchase"/>
    <hyperlink ref="A4" location="'Nozzle Sales Logs'!A1" display="Total Sales"/>
    <hyperlink ref="A6" location="'SBI CC Bank Ledger'!A1" display="Account Balance (SBI CC)"/>
    <hyperlink ref="A7" location="'Pump Miscellaneous Costs'!A1" display="Total Expense"/>
    <hyperlink ref="A8" location="'Staff Wages Ledger'!A1" display="Total Staff Payment"/>
    <hyperlink ref="A9" location="'Debit Interest Book'!A1" display="Total Debit Interest"/>
    <hyperlink ref="A10" location="'Owner Personal Book'!A1" display="Owner Debit (Ashwini Kumar Singh)"/>
    <hyperlink ref="A11" location="'Party Credit Accounts'!A1" display="Other Party Debit Summary"/>
    <hyperlink ref="A13" location="'Fuel Stock Ledger'!A1" display="Total Oil Stock Value"/>
    <hyperlink ref="A14" location="'Monthly '!A1" display="Total Kharch &amp; Stock Combined"/>
    <hyperlink ref="A15" location="'SBI CC Bank Ledger'!A1" display="Account Credit Total"/>
    <hyperlink ref="A16" location="Yearly!A1" display="Total Debit Account Summary"/>
    <hyperlink ref="A17" location="Yearly!A1" display="Balance Account Framework"/>
    <hyperlink ref="A18" location="Yearly!A1" display="Net Operational Profit / Loss"/>
    <hyperlink ref="A12" location="'HPCL '!A1" display="HPCL Credit Balance"/>
  </hyperlinks>
  <pageMargins left="0" right="0" top="0" bottom="0" header="0" footer="0"/>
  <pageSetup paperSize="9"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0"/>
  <sheetViews>
    <sheetView topLeftCell="A13" workbookViewId="0">
      <selection activeCell="E42" sqref="E42"/>
    </sheetView>
  </sheetViews>
  <sheetFormatPr defaultRowHeight="15"/>
  <cols>
    <col min="1" max="1" width="21" customWidth="1"/>
    <col min="2" max="2" width="13" customWidth="1"/>
    <col min="3" max="3" width="14" customWidth="1"/>
    <col min="4" max="4" width="12" customWidth="1"/>
    <col min="5" max="6" width="13" customWidth="1"/>
    <col min="7" max="7" width="14" customWidth="1"/>
    <col min="8" max="8" width="15" customWidth="1"/>
    <col min="9" max="9" width="12" customWidth="1"/>
    <col min="10" max="11" width="14" customWidth="1"/>
    <col min="12" max="12" width="12" customWidth="1"/>
  </cols>
  <sheetData>
    <row r="1" spans="1:12" ht="35.1" customHeight="1" thickBot="1">
      <c r="A1" s="106" t="s">
        <v>16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8"/>
    </row>
    <row r="2" spans="1:12" ht="24.95" customHeight="1">
      <c r="A2" s="17" t="s">
        <v>17</v>
      </c>
      <c r="B2" s="18" t="s">
        <v>18</v>
      </c>
      <c r="C2" s="18" t="s">
        <v>19</v>
      </c>
      <c r="D2" s="18" t="s">
        <v>20</v>
      </c>
      <c r="E2" s="18" t="s">
        <v>21</v>
      </c>
      <c r="F2" s="88" t="s">
        <v>304</v>
      </c>
      <c r="G2" s="18" t="s">
        <v>22</v>
      </c>
      <c r="H2" s="18" t="s">
        <v>23</v>
      </c>
      <c r="I2" s="18" t="s">
        <v>24</v>
      </c>
      <c r="J2" s="18" t="s">
        <v>25</v>
      </c>
      <c r="K2" s="88" t="s">
        <v>304</v>
      </c>
      <c r="L2" s="19" t="s">
        <v>26</v>
      </c>
    </row>
    <row r="3" spans="1:12" ht="20.100000000000001" customHeight="1">
      <c r="A3" s="25" t="s">
        <v>27</v>
      </c>
      <c r="B3" s="15">
        <v>1141</v>
      </c>
      <c r="C3" s="15">
        <v>5000</v>
      </c>
      <c r="D3" s="15">
        <v>0</v>
      </c>
      <c r="E3" s="15">
        <v>6141</v>
      </c>
      <c r="F3" s="15">
        <f>+E3*107.1</f>
        <v>657701.1</v>
      </c>
      <c r="G3" s="15">
        <v>1177</v>
      </c>
      <c r="H3" s="15">
        <v>9000</v>
      </c>
      <c r="I3" s="15">
        <v>0</v>
      </c>
      <c r="J3" s="15">
        <v>10177</v>
      </c>
      <c r="K3" s="15">
        <f>+J3*102.17</f>
        <v>1039784.09</v>
      </c>
      <c r="L3" s="22" t="s">
        <v>28</v>
      </c>
    </row>
    <row r="4" spans="1:12" ht="20.100000000000001" customHeight="1">
      <c r="A4" s="25" t="s">
        <v>29</v>
      </c>
      <c r="B4" s="15">
        <v>6141</v>
      </c>
      <c r="C4" s="15">
        <v>0</v>
      </c>
      <c r="D4" s="15">
        <v>682.34</v>
      </c>
      <c r="E4" s="15">
        <v>5458.66</v>
      </c>
      <c r="F4" s="15">
        <f t="shared" ref="F4:F10" si="0">+E4*107.1</f>
        <v>584622.48599999992</v>
      </c>
      <c r="G4" s="15">
        <v>10177</v>
      </c>
      <c r="H4" s="15">
        <v>0</v>
      </c>
      <c r="I4" s="15">
        <v>714.43</v>
      </c>
      <c r="J4" s="15">
        <v>9462.57</v>
      </c>
      <c r="K4" s="15">
        <f t="shared" ref="K4:K23" si="1">+J4*102.17</f>
        <v>966790.77689999994</v>
      </c>
      <c r="L4" s="22" t="s">
        <v>28</v>
      </c>
    </row>
    <row r="5" spans="1:12" ht="20.100000000000001" customHeight="1">
      <c r="A5" s="25" t="s">
        <v>30</v>
      </c>
      <c r="B5" s="15">
        <v>5458.66</v>
      </c>
      <c r="C5" s="15">
        <v>0</v>
      </c>
      <c r="D5" s="15">
        <v>674.47</v>
      </c>
      <c r="E5" s="15">
        <v>4784.1899999999996</v>
      </c>
      <c r="F5" s="15">
        <f t="shared" si="0"/>
        <v>512386.74899999995</v>
      </c>
      <c r="G5" s="15">
        <v>9462.57</v>
      </c>
      <c r="H5" s="15">
        <v>0</v>
      </c>
      <c r="I5" s="15">
        <v>40.71</v>
      </c>
      <c r="J5" s="15">
        <v>9421.86</v>
      </c>
      <c r="K5" s="15">
        <f t="shared" si="1"/>
        <v>962631.43620000011</v>
      </c>
      <c r="L5" s="22" t="s">
        <v>28</v>
      </c>
    </row>
    <row r="6" spans="1:12" ht="20.100000000000001" customHeight="1">
      <c r="A6" s="25" t="s">
        <v>31</v>
      </c>
      <c r="B6" s="15">
        <v>4784.1899999999996</v>
      </c>
      <c r="C6" s="15">
        <v>0</v>
      </c>
      <c r="D6" s="15">
        <v>298</v>
      </c>
      <c r="E6" s="15">
        <v>4486.1899999999996</v>
      </c>
      <c r="F6" s="15">
        <f t="shared" si="0"/>
        <v>480470.94899999991</v>
      </c>
      <c r="G6" s="15">
        <v>9421.86</v>
      </c>
      <c r="H6" s="15">
        <v>0</v>
      </c>
      <c r="I6" s="15">
        <v>13</v>
      </c>
      <c r="J6" s="15">
        <v>9408.86</v>
      </c>
      <c r="K6" s="15">
        <f t="shared" si="1"/>
        <v>961303.22620000003</v>
      </c>
      <c r="L6" s="22" t="s">
        <v>28</v>
      </c>
    </row>
    <row r="7" spans="1:12" ht="20.100000000000001" customHeight="1">
      <c r="A7" s="25" t="s">
        <v>32</v>
      </c>
      <c r="B7" s="15">
        <v>4486.1899999999996</v>
      </c>
      <c r="C7" s="15">
        <v>0</v>
      </c>
      <c r="D7" s="15">
        <v>325.92</v>
      </c>
      <c r="E7" s="15">
        <v>4160.2700000000004</v>
      </c>
      <c r="F7" s="15">
        <f t="shared" si="0"/>
        <v>445564.91700000002</v>
      </c>
      <c r="G7" s="15">
        <v>9408.86</v>
      </c>
      <c r="H7" s="15">
        <v>0</v>
      </c>
      <c r="I7" s="15">
        <v>68.83</v>
      </c>
      <c r="J7" s="15">
        <v>9340.0300000000007</v>
      </c>
      <c r="K7" s="15">
        <f t="shared" si="1"/>
        <v>954270.86510000005</v>
      </c>
      <c r="L7" s="22" t="s">
        <v>28</v>
      </c>
    </row>
    <row r="8" spans="1:12" ht="20.100000000000001" customHeight="1">
      <c r="A8" s="25" t="s">
        <v>33</v>
      </c>
      <c r="B8" s="15">
        <v>4160.2700000000004</v>
      </c>
      <c r="C8" s="15">
        <v>0</v>
      </c>
      <c r="D8" s="15">
        <v>432.86</v>
      </c>
      <c r="E8" s="15">
        <v>3727.41</v>
      </c>
      <c r="F8" s="15">
        <f t="shared" si="0"/>
        <v>399205.61099999998</v>
      </c>
      <c r="G8" s="15">
        <v>9340.0300000000007</v>
      </c>
      <c r="H8" s="15">
        <v>0</v>
      </c>
      <c r="I8" s="15">
        <v>927.33</v>
      </c>
      <c r="J8" s="15">
        <v>8412.7000000000007</v>
      </c>
      <c r="K8" s="15">
        <f t="shared" si="1"/>
        <v>859525.55900000012</v>
      </c>
      <c r="L8" s="22" t="s">
        <v>28</v>
      </c>
    </row>
    <row r="9" spans="1:12" ht="20.100000000000001" customHeight="1">
      <c r="A9" s="25" t="s">
        <v>34</v>
      </c>
      <c r="B9" s="15">
        <v>3727.41</v>
      </c>
      <c r="C9" s="15">
        <v>0</v>
      </c>
      <c r="D9" s="15">
        <v>163.58000000000001</v>
      </c>
      <c r="E9" s="15">
        <v>3563.83</v>
      </c>
      <c r="F9" s="15">
        <f t="shared" si="0"/>
        <v>381686.19299999997</v>
      </c>
      <c r="G9" s="15">
        <v>8412.7000000000007</v>
      </c>
      <c r="H9" s="15">
        <v>0</v>
      </c>
      <c r="I9" s="15">
        <v>10.93</v>
      </c>
      <c r="J9" s="15">
        <v>8401.77</v>
      </c>
      <c r="K9" s="15">
        <f t="shared" si="1"/>
        <v>858408.84090000007</v>
      </c>
      <c r="L9" s="22" t="s">
        <v>28</v>
      </c>
    </row>
    <row r="10" spans="1:12" ht="20.100000000000001" customHeight="1">
      <c r="A10" s="25" t="s">
        <v>35</v>
      </c>
      <c r="B10" s="15">
        <v>3563.83</v>
      </c>
      <c r="C10" s="15">
        <v>0</v>
      </c>
      <c r="D10" s="15">
        <v>220.2</v>
      </c>
      <c r="E10" s="15">
        <v>3343.63</v>
      </c>
      <c r="F10" s="15">
        <f t="shared" si="0"/>
        <v>358102.77299999999</v>
      </c>
      <c r="G10" s="15">
        <v>8401.77</v>
      </c>
      <c r="H10" s="15">
        <v>0</v>
      </c>
      <c r="I10" s="15">
        <v>12.97</v>
      </c>
      <c r="J10" s="15">
        <v>8388.7999999999993</v>
      </c>
      <c r="K10" s="15">
        <f t="shared" si="1"/>
        <v>857083.696</v>
      </c>
      <c r="L10" s="22" t="s">
        <v>28</v>
      </c>
    </row>
    <row r="11" spans="1:12" ht="20.100000000000001" customHeight="1">
      <c r="A11" s="25" t="s">
        <v>36</v>
      </c>
      <c r="B11" s="15">
        <v>3343.63</v>
      </c>
      <c r="C11" s="15">
        <v>0</v>
      </c>
      <c r="D11" s="15">
        <v>299.81</v>
      </c>
      <c r="E11" s="15">
        <v>3043.82</v>
      </c>
      <c r="F11" s="15">
        <f>+E11*106.92</f>
        <v>325445.23440000002</v>
      </c>
      <c r="G11" s="15">
        <v>8388.7999999999993</v>
      </c>
      <c r="H11" s="15">
        <v>0</v>
      </c>
      <c r="I11" s="15">
        <v>158.76</v>
      </c>
      <c r="J11" s="15">
        <v>8230.0400000000009</v>
      </c>
      <c r="K11" s="15">
        <f>+J11*102.13</f>
        <v>840533.9852</v>
      </c>
      <c r="L11" s="22" t="s">
        <v>28</v>
      </c>
    </row>
    <row r="12" spans="1:12" ht="20.100000000000001" customHeight="1">
      <c r="A12" s="25" t="s">
        <v>37</v>
      </c>
      <c r="B12" s="15">
        <v>3043.82</v>
      </c>
      <c r="C12" s="15">
        <v>0</v>
      </c>
      <c r="D12" s="15">
        <v>212</v>
      </c>
      <c r="E12" s="15">
        <v>2831.82</v>
      </c>
      <c r="F12" s="15">
        <f t="shared" ref="F12:F23" si="2">+E12*106.92</f>
        <v>302778.19440000004</v>
      </c>
      <c r="G12" s="15">
        <v>8230.0400000000009</v>
      </c>
      <c r="H12" s="15">
        <v>0</v>
      </c>
      <c r="I12" s="15">
        <v>108</v>
      </c>
      <c r="J12" s="15">
        <v>8122.04</v>
      </c>
      <c r="K12" s="15">
        <f t="shared" ref="K12:K21" si="3">+J12*102.13</f>
        <v>829503.94519999996</v>
      </c>
      <c r="L12" s="22" t="s">
        <v>28</v>
      </c>
    </row>
    <row r="13" spans="1:12" ht="20.100000000000001" customHeight="1">
      <c r="A13" s="25" t="s">
        <v>38</v>
      </c>
      <c r="B13" s="15">
        <v>2831.82</v>
      </c>
      <c r="C13" s="15">
        <v>0</v>
      </c>
      <c r="D13" s="15">
        <v>0</v>
      </c>
      <c r="E13" s="15">
        <v>2831.82</v>
      </c>
      <c r="F13" s="15">
        <f t="shared" si="2"/>
        <v>302778.19440000004</v>
      </c>
      <c r="G13" s="15">
        <v>8122.04</v>
      </c>
      <c r="H13" s="15">
        <v>0</v>
      </c>
      <c r="I13" s="15">
        <v>0</v>
      </c>
      <c r="J13" s="15">
        <v>8122.04</v>
      </c>
      <c r="K13" s="15">
        <f t="shared" si="3"/>
        <v>829503.94519999996</v>
      </c>
      <c r="L13" s="22" t="s">
        <v>39</v>
      </c>
    </row>
    <row r="14" spans="1:12" ht="20.100000000000001" customHeight="1">
      <c r="A14" s="25" t="s">
        <v>40</v>
      </c>
      <c r="B14" s="15">
        <v>2831.82</v>
      </c>
      <c r="C14" s="15">
        <v>0</v>
      </c>
      <c r="D14" s="15">
        <v>427.55</v>
      </c>
      <c r="E14" s="15">
        <v>2404.27</v>
      </c>
      <c r="F14" s="15">
        <f t="shared" si="2"/>
        <v>257064.5484</v>
      </c>
      <c r="G14" s="15">
        <v>8122.04</v>
      </c>
      <c r="H14" s="15">
        <v>0</v>
      </c>
      <c r="I14" s="15">
        <v>167.72</v>
      </c>
      <c r="J14" s="15">
        <v>7954.32</v>
      </c>
      <c r="K14" s="15">
        <f t="shared" si="3"/>
        <v>812374.70159999991</v>
      </c>
      <c r="L14" s="22" t="s">
        <v>28</v>
      </c>
    </row>
    <row r="15" spans="1:12" ht="20.100000000000001" customHeight="1">
      <c r="A15" s="25" t="s">
        <v>41</v>
      </c>
      <c r="B15" s="15">
        <v>2404.27</v>
      </c>
      <c r="C15" s="15">
        <v>0</v>
      </c>
      <c r="D15" s="15">
        <v>383.95</v>
      </c>
      <c r="E15" s="15">
        <v>2020.32</v>
      </c>
      <c r="F15" s="15">
        <f t="shared" si="2"/>
        <v>216012.61439999999</v>
      </c>
      <c r="G15" s="15">
        <v>7954.32</v>
      </c>
      <c r="H15" s="15">
        <v>0</v>
      </c>
      <c r="I15" s="15">
        <v>58.45</v>
      </c>
      <c r="J15" s="15">
        <v>7895.87</v>
      </c>
      <c r="K15" s="15">
        <f t="shared" si="3"/>
        <v>806405.20309999993</v>
      </c>
      <c r="L15" s="22" t="s">
        <v>28</v>
      </c>
    </row>
    <row r="16" spans="1:12" ht="20.100000000000001" customHeight="1">
      <c r="A16" s="25" t="s">
        <v>42</v>
      </c>
      <c r="B16" s="15">
        <v>2020.32</v>
      </c>
      <c r="C16" s="15">
        <v>0</v>
      </c>
      <c r="D16" s="15">
        <v>255.87</v>
      </c>
      <c r="E16" s="15">
        <v>1764.45</v>
      </c>
      <c r="F16" s="15">
        <f t="shared" si="2"/>
        <v>188654.99400000001</v>
      </c>
      <c r="G16" s="15">
        <v>7895.87</v>
      </c>
      <c r="H16" s="15">
        <v>0</v>
      </c>
      <c r="I16" s="15">
        <v>82.16</v>
      </c>
      <c r="J16" s="15">
        <v>7813.71</v>
      </c>
      <c r="K16" s="15">
        <f t="shared" si="3"/>
        <v>798014.2023</v>
      </c>
      <c r="L16" s="22" t="s">
        <v>28</v>
      </c>
    </row>
    <row r="17" spans="1:12" ht="20.100000000000001" customHeight="1">
      <c r="A17" s="25" t="s">
        <v>43</v>
      </c>
      <c r="B17" s="15">
        <v>1764.45</v>
      </c>
      <c r="C17" s="15">
        <v>8000</v>
      </c>
      <c r="D17" s="15">
        <v>313.27999999999997</v>
      </c>
      <c r="E17" s="15">
        <v>9451.17</v>
      </c>
      <c r="F17" s="15">
        <f t="shared" si="2"/>
        <v>1010519.0964</v>
      </c>
      <c r="G17" s="15">
        <v>7813.71</v>
      </c>
      <c r="H17" s="15">
        <v>4000</v>
      </c>
      <c r="I17" s="15">
        <v>89.87</v>
      </c>
      <c r="J17" s="15">
        <v>11723.84</v>
      </c>
      <c r="K17" s="15">
        <f t="shared" si="3"/>
        <v>1197355.7792</v>
      </c>
      <c r="L17" s="22" t="s">
        <v>28</v>
      </c>
    </row>
    <row r="18" spans="1:12" ht="20.100000000000001" customHeight="1">
      <c r="A18" s="25" t="s">
        <v>44</v>
      </c>
      <c r="B18" s="15">
        <v>9451.17</v>
      </c>
      <c r="C18" s="15">
        <v>0</v>
      </c>
      <c r="D18" s="15">
        <v>383.32</v>
      </c>
      <c r="E18" s="15">
        <v>9067.85</v>
      </c>
      <c r="F18" s="15">
        <f t="shared" si="2"/>
        <v>969534.522</v>
      </c>
      <c r="G18" s="15">
        <v>11723.84</v>
      </c>
      <c r="H18" s="15">
        <v>0</v>
      </c>
      <c r="I18" s="15">
        <v>197.69</v>
      </c>
      <c r="J18" s="15">
        <v>11526.15</v>
      </c>
      <c r="K18" s="15">
        <f t="shared" si="3"/>
        <v>1177165.6994999999</v>
      </c>
      <c r="L18" s="22" t="s">
        <v>28</v>
      </c>
    </row>
    <row r="19" spans="1:12" ht="20.100000000000001" customHeight="1">
      <c r="A19" s="25" t="s">
        <v>45</v>
      </c>
      <c r="B19" s="15">
        <v>9067.85</v>
      </c>
      <c r="C19" s="15">
        <v>0</v>
      </c>
      <c r="D19" s="15">
        <v>337.29</v>
      </c>
      <c r="E19" s="15">
        <v>8730.56</v>
      </c>
      <c r="F19" s="15">
        <f t="shared" si="2"/>
        <v>933471.47519999999</v>
      </c>
      <c r="G19" s="15">
        <v>11526.15</v>
      </c>
      <c r="H19" s="15">
        <v>0</v>
      </c>
      <c r="I19" s="15">
        <v>61.1</v>
      </c>
      <c r="J19" s="15">
        <v>11465.05</v>
      </c>
      <c r="K19" s="15">
        <f t="shared" si="3"/>
        <v>1170925.5564999999</v>
      </c>
      <c r="L19" s="22" t="s">
        <v>28</v>
      </c>
    </row>
    <row r="20" spans="1:12" ht="20.100000000000001" customHeight="1">
      <c r="A20" s="25" t="s">
        <v>46</v>
      </c>
      <c r="B20" s="15">
        <v>8730.56</v>
      </c>
      <c r="C20" s="15">
        <v>0</v>
      </c>
      <c r="D20" s="15">
        <v>367.65</v>
      </c>
      <c r="E20" s="15">
        <v>8362.91</v>
      </c>
      <c r="F20" s="15">
        <f t="shared" si="2"/>
        <v>894162.33719999995</v>
      </c>
      <c r="G20" s="15">
        <v>11465.05</v>
      </c>
      <c r="H20" s="15">
        <v>0</v>
      </c>
      <c r="I20" s="15">
        <v>28.49</v>
      </c>
      <c r="J20" s="15">
        <v>11436.56</v>
      </c>
      <c r="K20" s="15">
        <f t="shared" si="3"/>
        <v>1168015.8728</v>
      </c>
      <c r="L20" s="22" t="s">
        <v>28</v>
      </c>
    </row>
    <row r="21" spans="1:12" ht="20.100000000000001" customHeight="1">
      <c r="A21" s="25" t="s">
        <v>47</v>
      </c>
      <c r="B21" s="15">
        <v>8362.91</v>
      </c>
      <c r="C21" s="15">
        <v>0</v>
      </c>
      <c r="D21" s="15">
        <v>435.28</v>
      </c>
      <c r="E21" s="15">
        <v>7927.63</v>
      </c>
      <c r="F21" s="15">
        <f t="shared" si="2"/>
        <v>847622.19960000005</v>
      </c>
      <c r="G21" s="15">
        <v>11436.56</v>
      </c>
      <c r="H21" s="15">
        <v>0</v>
      </c>
      <c r="I21" s="15">
        <v>103.81</v>
      </c>
      <c r="J21" s="15">
        <v>11332.75</v>
      </c>
      <c r="K21" s="15">
        <f t="shared" si="3"/>
        <v>1157413.7574999998</v>
      </c>
      <c r="L21" s="22" t="s">
        <v>28</v>
      </c>
    </row>
    <row r="22" spans="1:12" ht="20.100000000000001" customHeight="1">
      <c r="A22" s="25" t="s">
        <v>48</v>
      </c>
      <c r="B22" s="15">
        <v>7927.63</v>
      </c>
      <c r="C22" s="15">
        <v>0</v>
      </c>
      <c r="D22" s="92">
        <v>336.64</v>
      </c>
      <c r="E22" s="15">
        <f>+B22+C22-D22</f>
        <v>7590.99</v>
      </c>
      <c r="F22" s="15">
        <f t="shared" si="2"/>
        <v>811628.65079999994</v>
      </c>
      <c r="G22" s="15">
        <v>11332.75</v>
      </c>
      <c r="H22" s="15">
        <v>0</v>
      </c>
      <c r="I22" s="92">
        <v>108.5</v>
      </c>
      <c r="J22" s="15">
        <f>+G22+H22-I22</f>
        <v>11224.25</v>
      </c>
      <c r="K22" s="15">
        <f t="shared" si="1"/>
        <v>1146781.6225000001</v>
      </c>
      <c r="L22" s="22" t="s">
        <v>28</v>
      </c>
    </row>
    <row r="23" spans="1:12" ht="20.100000000000001" customHeight="1">
      <c r="A23" s="25" t="s">
        <v>258</v>
      </c>
      <c r="B23" s="15">
        <f>+E22</f>
        <v>7590.99</v>
      </c>
      <c r="C23" s="15">
        <v>0</v>
      </c>
      <c r="D23" s="16"/>
      <c r="E23" s="15">
        <f>+B23+C23-D23</f>
        <v>7590.99</v>
      </c>
      <c r="F23" s="15">
        <f t="shared" si="2"/>
        <v>811628.65079999994</v>
      </c>
      <c r="G23" s="15">
        <f>+J22</f>
        <v>11224.25</v>
      </c>
      <c r="H23" s="15">
        <v>0</v>
      </c>
      <c r="I23" s="16"/>
      <c r="J23" s="15">
        <f>+J22</f>
        <v>11224.25</v>
      </c>
      <c r="K23" s="92">
        <f t="shared" si="1"/>
        <v>1146781.6225000001</v>
      </c>
      <c r="L23" s="22" t="s">
        <v>28</v>
      </c>
    </row>
    <row r="24" spans="1:12" ht="20.100000000000001" customHeight="1">
      <c r="A24" s="25" t="s">
        <v>259</v>
      </c>
      <c r="B24" s="15"/>
      <c r="C24" s="15"/>
      <c r="D24" s="16"/>
      <c r="E24" s="16"/>
      <c r="F24" s="16"/>
      <c r="G24" s="15"/>
      <c r="H24" s="15"/>
      <c r="I24" s="16"/>
      <c r="J24" s="16"/>
      <c r="K24" s="16"/>
      <c r="L24" s="22"/>
    </row>
    <row r="25" spans="1:12" ht="20.100000000000001" customHeight="1">
      <c r="A25" s="25" t="s">
        <v>260</v>
      </c>
      <c r="B25" s="15"/>
      <c r="C25" s="15"/>
      <c r="D25" s="16"/>
      <c r="E25" s="16"/>
      <c r="F25" s="16"/>
      <c r="G25" s="15"/>
      <c r="H25" s="15"/>
      <c r="I25" s="16"/>
      <c r="J25" s="16"/>
      <c r="K25" s="16"/>
      <c r="L25" s="22"/>
    </row>
    <row r="26" spans="1:12" ht="20.100000000000001" customHeight="1">
      <c r="A26" s="25" t="s">
        <v>261</v>
      </c>
      <c r="B26" s="15"/>
      <c r="C26" s="15"/>
      <c r="D26" s="16"/>
      <c r="E26" s="16"/>
      <c r="F26" s="16"/>
      <c r="G26" s="15"/>
      <c r="H26" s="15"/>
      <c r="I26" s="16"/>
      <c r="J26" s="16"/>
      <c r="K26" s="16"/>
      <c r="L26" s="22"/>
    </row>
    <row r="27" spans="1:12" ht="20.100000000000001" customHeight="1">
      <c r="A27" s="25" t="s">
        <v>262</v>
      </c>
      <c r="B27" s="15"/>
      <c r="C27" s="15"/>
      <c r="D27" s="16"/>
      <c r="E27" s="16"/>
      <c r="F27" s="16"/>
      <c r="G27" s="15"/>
      <c r="H27" s="15"/>
      <c r="I27" s="16"/>
      <c r="J27" s="16"/>
      <c r="K27" s="16"/>
      <c r="L27" s="22"/>
    </row>
    <row r="28" spans="1:12" ht="20.100000000000001" customHeight="1">
      <c r="A28" s="25" t="s">
        <v>263</v>
      </c>
      <c r="B28" s="15"/>
      <c r="C28" s="15"/>
      <c r="D28" s="16"/>
      <c r="E28" s="16"/>
      <c r="F28" s="16"/>
      <c r="G28" s="15"/>
      <c r="H28" s="15"/>
      <c r="I28" s="16"/>
      <c r="J28" s="16"/>
      <c r="K28" s="16"/>
      <c r="L28" s="22"/>
    </row>
    <row r="29" spans="1:12" ht="20.100000000000001" customHeight="1">
      <c r="A29" s="25" t="s">
        <v>264</v>
      </c>
      <c r="B29" s="15"/>
      <c r="C29" s="15"/>
      <c r="D29" s="16"/>
      <c r="E29" s="16"/>
      <c r="F29" s="16"/>
      <c r="G29" s="15"/>
      <c r="H29" s="15"/>
      <c r="I29" s="16"/>
      <c r="J29" s="16"/>
      <c r="K29" s="16"/>
      <c r="L29" s="22"/>
    </row>
    <row r="30" spans="1:12" ht="20.100000000000001" customHeight="1">
      <c r="A30" s="25" t="s">
        <v>265</v>
      </c>
      <c r="B30" s="15"/>
      <c r="C30" s="15"/>
      <c r="D30" s="16"/>
      <c r="E30" s="16"/>
      <c r="F30" s="16"/>
      <c r="G30" s="15"/>
      <c r="H30" s="15"/>
      <c r="I30" s="16"/>
      <c r="J30" s="16"/>
      <c r="K30" s="16"/>
      <c r="L30" s="22"/>
    </row>
    <row r="31" spans="1:12" ht="20.100000000000001" customHeight="1">
      <c r="A31" s="25" t="s">
        <v>266</v>
      </c>
      <c r="B31" s="15"/>
      <c r="C31" s="15"/>
      <c r="D31" s="16"/>
      <c r="E31" s="16"/>
      <c r="F31" s="16"/>
      <c r="G31" s="15"/>
      <c r="H31" s="15"/>
      <c r="I31" s="16"/>
      <c r="J31" s="16"/>
      <c r="K31" s="16"/>
      <c r="L31" s="22"/>
    </row>
    <row r="32" spans="1:12" ht="20.100000000000001" customHeight="1">
      <c r="A32" s="25" t="s">
        <v>267</v>
      </c>
      <c r="B32" s="15"/>
      <c r="C32" s="15"/>
      <c r="D32" s="16"/>
      <c r="E32" s="16"/>
      <c r="F32" s="16"/>
      <c r="G32" s="15"/>
      <c r="H32" s="15"/>
      <c r="I32" s="16"/>
      <c r="J32" s="16"/>
      <c r="K32" s="16"/>
      <c r="L32" s="22"/>
    </row>
    <row r="33" spans="1:12" ht="20.100000000000001" customHeight="1">
      <c r="A33" s="25" t="s">
        <v>268</v>
      </c>
      <c r="B33" s="15"/>
      <c r="C33" s="15"/>
      <c r="D33" s="16"/>
      <c r="E33" s="16"/>
      <c r="F33" s="16"/>
      <c r="G33" s="15"/>
      <c r="H33" s="15"/>
      <c r="I33" s="16"/>
      <c r="J33" s="16"/>
      <c r="K33" s="16"/>
      <c r="L33" s="22"/>
    </row>
    <row r="34" spans="1:12" ht="20.100000000000001" customHeight="1">
      <c r="A34" s="25" t="s">
        <v>269</v>
      </c>
      <c r="B34" s="15"/>
      <c r="C34" s="15"/>
      <c r="D34" s="16"/>
      <c r="E34" s="16"/>
      <c r="F34" s="16"/>
      <c r="G34" s="15"/>
      <c r="H34" s="15"/>
      <c r="I34" s="16"/>
      <c r="J34" s="16"/>
      <c r="K34" s="16"/>
      <c r="L34" s="22"/>
    </row>
    <row r="35" spans="1:12" ht="20.100000000000001" customHeight="1">
      <c r="A35" s="25" t="s">
        <v>270</v>
      </c>
      <c r="B35" s="15"/>
      <c r="C35" s="15"/>
      <c r="D35" s="16"/>
      <c r="E35" s="16"/>
      <c r="F35" s="16"/>
      <c r="G35" s="15"/>
      <c r="H35" s="15"/>
      <c r="I35" s="16"/>
      <c r="J35" s="16"/>
      <c r="K35" s="16"/>
      <c r="L35" s="22"/>
    </row>
    <row r="36" spans="1:12" ht="20.100000000000001" customHeight="1">
      <c r="A36" s="25" t="s">
        <v>271</v>
      </c>
      <c r="B36" s="15"/>
      <c r="C36" s="15"/>
      <c r="D36" s="16"/>
      <c r="E36" s="16"/>
      <c r="F36" s="16"/>
      <c r="G36" s="15"/>
      <c r="H36" s="15"/>
      <c r="I36" s="16"/>
      <c r="J36" s="16"/>
      <c r="K36" s="16"/>
      <c r="L36" s="22"/>
    </row>
    <row r="37" spans="1:12" ht="20.100000000000001" customHeight="1" thickBot="1">
      <c r="A37" s="26" t="s">
        <v>49</v>
      </c>
      <c r="B37" s="27">
        <v>1141</v>
      </c>
      <c r="C37" s="27">
        <f>SUM(C3:C36)</f>
        <v>13000</v>
      </c>
      <c r="D37" s="27">
        <f>SUM(D3:D36)</f>
        <v>6550.0099999999993</v>
      </c>
      <c r="E37" s="27">
        <f>+B37+C37-D37</f>
        <v>7590.9900000000007</v>
      </c>
      <c r="F37" s="27"/>
      <c r="G37" s="27">
        <v>1177</v>
      </c>
      <c r="H37" s="27">
        <f>SUM(H3:H36)</f>
        <v>13000</v>
      </c>
      <c r="I37" s="27">
        <f>SUM(I3:I36)</f>
        <v>2952.7499999999991</v>
      </c>
      <c r="J37" s="27">
        <f>+G37+H37-I37</f>
        <v>11224.25</v>
      </c>
      <c r="K37" s="27"/>
      <c r="L37" s="28" t="s">
        <v>50</v>
      </c>
    </row>
    <row r="39" spans="1:12">
      <c r="C39" s="91">
        <f>+E37-B37</f>
        <v>6449.9900000000007</v>
      </c>
      <c r="H39" s="91">
        <f>+J37-G37</f>
        <v>10047.25</v>
      </c>
    </row>
    <row r="40" spans="1:12">
      <c r="C40">
        <f>+C39*106.92</f>
        <v>689632.93080000009</v>
      </c>
      <c r="F40">
        <f>+C40+H40</f>
        <v>1715758.5733</v>
      </c>
      <c r="H40">
        <f>+H39*102.13</f>
        <v>1026125.6425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F46" sqref="F46"/>
    </sheetView>
  </sheetViews>
  <sheetFormatPr defaultRowHeight="15"/>
  <cols>
    <col min="1" max="1" width="16.7109375" customWidth="1"/>
    <col min="2" max="2" width="14" customWidth="1"/>
    <col min="3" max="3" width="9.5703125" customWidth="1"/>
    <col min="4" max="4" width="11.7109375" customWidth="1"/>
    <col min="5" max="5" width="15.5703125" customWidth="1"/>
    <col min="6" max="6" width="17.85546875" customWidth="1"/>
    <col min="7" max="7" width="15" customWidth="1"/>
    <col min="8" max="8" width="20" customWidth="1"/>
    <col min="9" max="9" width="12" customWidth="1"/>
  </cols>
  <sheetData>
    <row r="1" spans="1:9" ht="35.1" customHeight="1" thickBot="1">
      <c r="A1" s="106" t="s">
        <v>51</v>
      </c>
      <c r="B1" s="107"/>
      <c r="C1" s="107"/>
      <c r="D1" s="107"/>
      <c r="E1" s="107"/>
      <c r="F1" s="107"/>
      <c r="G1" s="107"/>
      <c r="H1" s="107"/>
      <c r="I1" s="108"/>
    </row>
    <row r="2" spans="1:9" ht="24.95" customHeight="1">
      <c r="A2" s="17" t="s">
        <v>17</v>
      </c>
      <c r="B2" s="18" t="s">
        <v>52</v>
      </c>
      <c r="C2" s="18" t="s">
        <v>53</v>
      </c>
      <c r="D2" s="18" t="s">
        <v>54</v>
      </c>
      <c r="E2" s="18" t="s">
        <v>55</v>
      </c>
      <c r="F2" s="18" t="s">
        <v>56</v>
      </c>
      <c r="G2" s="18" t="s">
        <v>57</v>
      </c>
      <c r="H2" s="18" t="s">
        <v>58</v>
      </c>
      <c r="I2" s="19" t="s">
        <v>26</v>
      </c>
    </row>
    <row r="3" spans="1:9" ht="20.100000000000001" customHeight="1">
      <c r="A3" s="25" t="s">
        <v>59</v>
      </c>
      <c r="B3" s="16" t="s">
        <v>60</v>
      </c>
      <c r="C3" s="14">
        <v>3</v>
      </c>
      <c r="D3" s="15">
        <v>107.1</v>
      </c>
      <c r="E3" s="15">
        <v>682.34</v>
      </c>
      <c r="F3" s="29">
        <v>73078.61</v>
      </c>
      <c r="G3" s="14" t="s">
        <v>61</v>
      </c>
      <c r="H3" s="16" t="s">
        <v>62</v>
      </c>
      <c r="I3" s="22" t="s">
        <v>28</v>
      </c>
    </row>
    <row r="4" spans="1:9" ht="20.100000000000001" customHeight="1">
      <c r="A4" s="25" t="s">
        <v>59</v>
      </c>
      <c r="B4" s="16" t="s">
        <v>63</v>
      </c>
      <c r="C4" s="14">
        <v>3</v>
      </c>
      <c r="D4" s="15">
        <v>102.17</v>
      </c>
      <c r="E4" s="15">
        <v>714.43</v>
      </c>
      <c r="F4" s="29">
        <v>72993.31</v>
      </c>
      <c r="G4" s="14" t="s">
        <v>61</v>
      </c>
      <c r="H4" s="16" t="s">
        <v>62</v>
      </c>
      <c r="I4" s="22" t="s">
        <v>28</v>
      </c>
    </row>
    <row r="5" spans="1:9" ht="20.100000000000001" customHeight="1">
      <c r="A5" s="25" t="s">
        <v>64</v>
      </c>
      <c r="B5" s="16" t="s">
        <v>60</v>
      </c>
      <c r="C5" s="14">
        <v>3</v>
      </c>
      <c r="D5" s="15">
        <v>107.1</v>
      </c>
      <c r="E5" s="15">
        <v>674.47</v>
      </c>
      <c r="F5" s="29">
        <v>72235.740000000005</v>
      </c>
      <c r="G5" s="14" t="s">
        <v>61</v>
      </c>
      <c r="H5" s="16" t="s">
        <v>62</v>
      </c>
      <c r="I5" s="22" t="s">
        <v>28</v>
      </c>
    </row>
    <row r="6" spans="1:9" ht="20.100000000000001" customHeight="1">
      <c r="A6" s="25" t="s">
        <v>64</v>
      </c>
      <c r="B6" s="16" t="s">
        <v>63</v>
      </c>
      <c r="C6" s="14">
        <v>3</v>
      </c>
      <c r="D6" s="15">
        <v>102.17</v>
      </c>
      <c r="E6" s="15">
        <v>40.71</v>
      </c>
      <c r="F6" s="29">
        <v>4159.34</v>
      </c>
      <c r="G6" s="14" t="s">
        <v>61</v>
      </c>
      <c r="H6" s="16" t="s">
        <v>62</v>
      </c>
      <c r="I6" s="22" t="s">
        <v>28</v>
      </c>
    </row>
    <row r="7" spans="1:9" ht="20.100000000000001" customHeight="1">
      <c r="A7" s="25" t="s">
        <v>65</v>
      </c>
      <c r="B7" s="16" t="s">
        <v>60</v>
      </c>
      <c r="C7" s="14">
        <v>3</v>
      </c>
      <c r="D7" s="15">
        <v>107.1</v>
      </c>
      <c r="E7" s="15">
        <v>298</v>
      </c>
      <c r="F7" s="29">
        <v>31915.8</v>
      </c>
      <c r="G7" s="14" t="s">
        <v>61</v>
      </c>
      <c r="H7" s="16" t="s">
        <v>62</v>
      </c>
      <c r="I7" s="22" t="s">
        <v>28</v>
      </c>
    </row>
    <row r="8" spans="1:9" ht="20.100000000000001" customHeight="1">
      <c r="A8" s="25" t="s">
        <v>65</v>
      </c>
      <c r="B8" s="16" t="s">
        <v>63</v>
      </c>
      <c r="C8" s="14">
        <v>3</v>
      </c>
      <c r="D8" s="15">
        <v>102.17</v>
      </c>
      <c r="E8" s="15">
        <v>13</v>
      </c>
      <c r="F8" s="29">
        <v>1328.21</v>
      </c>
      <c r="G8" s="14" t="s">
        <v>61</v>
      </c>
      <c r="H8" s="16" t="s">
        <v>62</v>
      </c>
      <c r="I8" s="22" t="s">
        <v>28</v>
      </c>
    </row>
    <row r="9" spans="1:9" ht="20.100000000000001" customHeight="1">
      <c r="A9" s="25" t="s">
        <v>66</v>
      </c>
      <c r="B9" s="16" t="s">
        <v>60</v>
      </c>
      <c r="C9" s="14">
        <v>3</v>
      </c>
      <c r="D9" s="15">
        <v>107.1</v>
      </c>
      <c r="E9" s="15">
        <v>325.92</v>
      </c>
      <c r="F9" s="29">
        <v>34906.03</v>
      </c>
      <c r="G9" s="14" t="s">
        <v>61</v>
      </c>
      <c r="H9" s="16" t="s">
        <v>62</v>
      </c>
      <c r="I9" s="22" t="s">
        <v>28</v>
      </c>
    </row>
    <row r="10" spans="1:9" ht="20.100000000000001" customHeight="1">
      <c r="A10" s="25" t="s">
        <v>66</v>
      </c>
      <c r="B10" s="16" t="s">
        <v>63</v>
      </c>
      <c r="C10" s="14">
        <v>3</v>
      </c>
      <c r="D10" s="15">
        <v>102.17</v>
      </c>
      <c r="E10" s="15">
        <v>68.83</v>
      </c>
      <c r="F10" s="29">
        <v>7032.36</v>
      </c>
      <c r="G10" s="14" t="s">
        <v>61</v>
      </c>
      <c r="H10" s="16" t="s">
        <v>62</v>
      </c>
      <c r="I10" s="22" t="s">
        <v>28</v>
      </c>
    </row>
    <row r="11" spans="1:9" ht="20.100000000000001" customHeight="1">
      <c r="A11" s="25" t="s">
        <v>67</v>
      </c>
      <c r="B11" s="16" t="s">
        <v>60</v>
      </c>
      <c r="C11" s="14">
        <v>3</v>
      </c>
      <c r="D11" s="15">
        <v>107.1</v>
      </c>
      <c r="E11" s="15">
        <v>432.86</v>
      </c>
      <c r="F11" s="29">
        <v>46359.31</v>
      </c>
      <c r="G11" s="14" t="s">
        <v>61</v>
      </c>
      <c r="H11" s="16" t="s">
        <v>62</v>
      </c>
      <c r="I11" s="22" t="s">
        <v>28</v>
      </c>
    </row>
    <row r="12" spans="1:9" ht="20.100000000000001" customHeight="1">
      <c r="A12" s="25" t="s">
        <v>67</v>
      </c>
      <c r="B12" s="16" t="s">
        <v>63</v>
      </c>
      <c r="C12" s="14">
        <v>3</v>
      </c>
      <c r="D12" s="15">
        <v>102.17</v>
      </c>
      <c r="E12" s="15">
        <v>927.33</v>
      </c>
      <c r="F12" s="29">
        <v>94745.31</v>
      </c>
      <c r="G12" s="14" t="s">
        <v>61</v>
      </c>
      <c r="H12" s="16" t="s">
        <v>62</v>
      </c>
      <c r="I12" s="22" t="s">
        <v>28</v>
      </c>
    </row>
    <row r="13" spans="1:9" ht="20.100000000000001" customHeight="1">
      <c r="A13" s="25" t="s">
        <v>34</v>
      </c>
      <c r="B13" s="16" t="s">
        <v>60</v>
      </c>
      <c r="C13" s="14">
        <v>3</v>
      </c>
      <c r="D13" s="15">
        <v>107.1</v>
      </c>
      <c r="E13" s="15">
        <v>163.58000000000001</v>
      </c>
      <c r="F13" s="29">
        <v>17519.419999999998</v>
      </c>
      <c r="G13" s="14" t="s">
        <v>61</v>
      </c>
      <c r="H13" s="16" t="s">
        <v>62</v>
      </c>
      <c r="I13" s="22" t="s">
        <v>28</v>
      </c>
    </row>
    <row r="14" spans="1:9" ht="20.100000000000001" customHeight="1">
      <c r="A14" s="25" t="s">
        <v>34</v>
      </c>
      <c r="B14" s="16" t="s">
        <v>63</v>
      </c>
      <c r="C14" s="14">
        <v>3</v>
      </c>
      <c r="D14" s="15">
        <v>102.17</v>
      </c>
      <c r="E14" s="15">
        <v>10.93</v>
      </c>
      <c r="F14" s="29">
        <v>1116.72</v>
      </c>
      <c r="G14" s="14" t="s">
        <v>61</v>
      </c>
      <c r="H14" s="16" t="s">
        <v>62</v>
      </c>
      <c r="I14" s="22" t="s">
        <v>28</v>
      </c>
    </row>
    <row r="15" spans="1:9" ht="20.100000000000001" customHeight="1">
      <c r="A15" s="25" t="s">
        <v>35</v>
      </c>
      <c r="B15" s="16" t="s">
        <v>60</v>
      </c>
      <c r="C15" s="14">
        <v>3</v>
      </c>
      <c r="D15" s="15">
        <v>107.1</v>
      </c>
      <c r="E15" s="15">
        <v>220.2</v>
      </c>
      <c r="F15" s="29">
        <v>23583.42</v>
      </c>
      <c r="G15" s="14" t="s">
        <v>61</v>
      </c>
      <c r="H15" s="16" t="s">
        <v>62</v>
      </c>
      <c r="I15" s="22" t="s">
        <v>28</v>
      </c>
    </row>
    <row r="16" spans="1:9" ht="20.100000000000001" customHeight="1">
      <c r="A16" s="25" t="s">
        <v>35</v>
      </c>
      <c r="B16" s="16" t="s">
        <v>63</v>
      </c>
      <c r="C16" s="14">
        <v>3</v>
      </c>
      <c r="D16" s="15">
        <v>102.17</v>
      </c>
      <c r="E16" s="15">
        <v>12.97</v>
      </c>
      <c r="F16" s="29">
        <v>1325.14</v>
      </c>
      <c r="G16" s="14" t="s">
        <v>61</v>
      </c>
      <c r="H16" s="16" t="s">
        <v>62</v>
      </c>
      <c r="I16" s="22" t="s">
        <v>28</v>
      </c>
    </row>
    <row r="17" spans="1:9" ht="20.100000000000001" customHeight="1">
      <c r="A17" s="25" t="s">
        <v>36</v>
      </c>
      <c r="B17" s="16" t="s">
        <v>60</v>
      </c>
      <c r="C17" s="14">
        <v>3</v>
      </c>
      <c r="D17" s="15">
        <v>106.92</v>
      </c>
      <c r="E17" s="15">
        <v>299.81</v>
      </c>
      <c r="F17" s="29">
        <v>32055.69</v>
      </c>
      <c r="G17" s="14" t="s">
        <v>61</v>
      </c>
      <c r="H17" s="16" t="s">
        <v>62</v>
      </c>
      <c r="I17" s="22" t="s">
        <v>28</v>
      </c>
    </row>
    <row r="18" spans="1:9" ht="20.100000000000001" customHeight="1">
      <c r="A18" s="25" t="s">
        <v>36</v>
      </c>
      <c r="B18" s="16" t="s">
        <v>63</v>
      </c>
      <c r="C18" s="14">
        <v>3</v>
      </c>
      <c r="D18" s="15">
        <v>102.13</v>
      </c>
      <c r="E18" s="15">
        <v>158.76</v>
      </c>
      <c r="F18" s="29">
        <v>16214.16</v>
      </c>
      <c r="G18" s="14" t="s">
        <v>61</v>
      </c>
      <c r="H18" s="16" t="s">
        <v>62</v>
      </c>
      <c r="I18" s="22" t="s">
        <v>28</v>
      </c>
    </row>
    <row r="19" spans="1:9" ht="20.100000000000001" customHeight="1">
      <c r="A19" s="25" t="s">
        <v>37</v>
      </c>
      <c r="B19" s="16" t="s">
        <v>60</v>
      </c>
      <c r="C19" s="14">
        <v>3</v>
      </c>
      <c r="D19" s="15">
        <v>106.92</v>
      </c>
      <c r="E19" s="15">
        <v>212</v>
      </c>
      <c r="F19" s="29">
        <v>22667.040000000001</v>
      </c>
      <c r="G19" s="14" t="s">
        <v>61</v>
      </c>
      <c r="H19" s="16" t="s">
        <v>62</v>
      </c>
      <c r="I19" s="22" t="s">
        <v>28</v>
      </c>
    </row>
    <row r="20" spans="1:9" ht="20.100000000000001" customHeight="1">
      <c r="A20" s="25" t="s">
        <v>37</v>
      </c>
      <c r="B20" s="16" t="s">
        <v>63</v>
      </c>
      <c r="C20" s="14">
        <v>3</v>
      </c>
      <c r="D20" s="15">
        <v>102.13</v>
      </c>
      <c r="E20" s="15">
        <v>108</v>
      </c>
      <c r="F20" s="29">
        <v>11030.04</v>
      </c>
      <c r="G20" s="14" t="s">
        <v>61</v>
      </c>
      <c r="H20" s="16" t="s">
        <v>62</v>
      </c>
      <c r="I20" s="22" t="s">
        <v>28</v>
      </c>
    </row>
    <row r="21" spans="1:9" ht="20.100000000000001" customHeight="1">
      <c r="A21" s="25" t="s">
        <v>38</v>
      </c>
      <c r="B21" s="16" t="s">
        <v>60</v>
      </c>
      <c r="C21" s="14">
        <v>0</v>
      </c>
      <c r="D21" s="15">
        <v>106.92</v>
      </c>
      <c r="E21" s="15">
        <v>0</v>
      </c>
      <c r="F21" s="29">
        <v>0</v>
      </c>
      <c r="G21" s="14" t="s">
        <v>68</v>
      </c>
      <c r="H21" s="16" t="s">
        <v>69</v>
      </c>
      <c r="I21" s="22" t="s">
        <v>39</v>
      </c>
    </row>
    <row r="22" spans="1:9" ht="20.100000000000001" customHeight="1">
      <c r="A22" s="25" t="s">
        <v>40</v>
      </c>
      <c r="B22" s="16" t="s">
        <v>60</v>
      </c>
      <c r="C22" s="14">
        <v>0</v>
      </c>
      <c r="D22" s="15">
        <v>106.92</v>
      </c>
      <c r="E22" s="15">
        <v>427.55</v>
      </c>
      <c r="F22" s="29">
        <v>45713.65</v>
      </c>
      <c r="G22" s="14" t="s">
        <v>61</v>
      </c>
      <c r="H22" s="16" t="s">
        <v>62</v>
      </c>
      <c r="I22" s="22" t="s">
        <v>28</v>
      </c>
    </row>
    <row r="23" spans="1:9" ht="20.100000000000001" customHeight="1">
      <c r="A23" s="25" t="s">
        <v>40</v>
      </c>
      <c r="B23" s="16" t="s">
        <v>63</v>
      </c>
      <c r="C23" s="14">
        <v>0</v>
      </c>
      <c r="D23" s="15">
        <v>102.13</v>
      </c>
      <c r="E23" s="15">
        <v>167.72</v>
      </c>
      <c r="F23" s="29">
        <v>17129.240000000002</v>
      </c>
      <c r="G23" s="14" t="s">
        <v>61</v>
      </c>
      <c r="H23" s="16" t="s">
        <v>62</v>
      </c>
      <c r="I23" s="22" t="s">
        <v>28</v>
      </c>
    </row>
    <row r="24" spans="1:9" ht="20.100000000000001" customHeight="1">
      <c r="A24" s="25" t="s">
        <v>41</v>
      </c>
      <c r="B24" s="16" t="s">
        <v>60</v>
      </c>
      <c r="C24" s="14">
        <v>0</v>
      </c>
      <c r="D24" s="15">
        <v>106.92</v>
      </c>
      <c r="E24" s="15">
        <v>383.95</v>
      </c>
      <c r="F24" s="29">
        <v>41051.93</v>
      </c>
      <c r="G24" s="14" t="s">
        <v>61</v>
      </c>
      <c r="H24" s="16" t="s">
        <v>62</v>
      </c>
      <c r="I24" s="22" t="s">
        <v>28</v>
      </c>
    </row>
    <row r="25" spans="1:9" ht="20.100000000000001" customHeight="1">
      <c r="A25" s="25" t="s">
        <v>41</v>
      </c>
      <c r="B25" s="16" t="s">
        <v>63</v>
      </c>
      <c r="C25" s="14">
        <v>0</v>
      </c>
      <c r="D25" s="15">
        <v>102.13</v>
      </c>
      <c r="E25" s="15">
        <v>58.45</v>
      </c>
      <c r="F25" s="29">
        <v>5969.5</v>
      </c>
      <c r="G25" s="14" t="s">
        <v>61</v>
      </c>
      <c r="H25" s="16" t="s">
        <v>62</v>
      </c>
      <c r="I25" s="22" t="s">
        <v>28</v>
      </c>
    </row>
    <row r="26" spans="1:9" ht="20.100000000000001" customHeight="1">
      <c r="A26" s="25" t="s">
        <v>42</v>
      </c>
      <c r="B26" s="16" t="s">
        <v>60</v>
      </c>
      <c r="C26" s="14">
        <v>0</v>
      </c>
      <c r="D26" s="15">
        <v>106.92</v>
      </c>
      <c r="E26" s="15">
        <v>255.87</v>
      </c>
      <c r="F26" s="29">
        <v>27357.62</v>
      </c>
      <c r="G26" s="14" t="s">
        <v>61</v>
      </c>
      <c r="H26" s="16" t="s">
        <v>62</v>
      </c>
      <c r="I26" s="22" t="s">
        <v>28</v>
      </c>
    </row>
    <row r="27" spans="1:9" ht="20.100000000000001" customHeight="1">
      <c r="A27" s="25" t="s">
        <v>42</v>
      </c>
      <c r="B27" s="16" t="s">
        <v>63</v>
      </c>
      <c r="C27" s="14">
        <v>0</v>
      </c>
      <c r="D27" s="15">
        <v>102.13</v>
      </c>
      <c r="E27" s="15">
        <v>82.16</v>
      </c>
      <c r="F27" s="29">
        <v>8391</v>
      </c>
      <c r="G27" s="14" t="s">
        <v>61</v>
      </c>
      <c r="H27" s="16" t="s">
        <v>62</v>
      </c>
      <c r="I27" s="22" t="s">
        <v>28</v>
      </c>
    </row>
    <row r="28" spans="1:9" ht="20.100000000000001" customHeight="1">
      <c r="A28" s="25" t="s">
        <v>43</v>
      </c>
      <c r="B28" s="16" t="s">
        <v>60</v>
      </c>
      <c r="C28" s="14">
        <v>0</v>
      </c>
      <c r="D28" s="15">
        <v>106.92</v>
      </c>
      <c r="E28" s="15">
        <v>313.27999999999997</v>
      </c>
      <c r="F28" s="29">
        <v>33495.9</v>
      </c>
      <c r="G28" s="14" t="s">
        <v>61</v>
      </c>
      <c r="H28" s="16" t="s">
        <v>62</v>
      </c>
      <c r="I28" s="22" t="s">
        <v>28</v>
      </c>
    </row>
    <row r="29" spans="1:9" ht="20.100000000000001" customHeight="1">
      <c r="A29" s="25" t="s">
        <v>43</v>
      </c>
      <c r="B29" s="16" t="s">
        <v>63</v>
      </c>
      <c r="C29" s="14">
        <v>0</v>
      </c>
      <c r="D29" s="15">
        <v>102.13</v>
      </c>
      <c r="E29" s="15">
        <v>89.87</v>
      </c>
      <c r="F29" s="29">
        <v>9178.42</v>
      </c>
      <c r="G29" s="14" t="s">
        <v>61</v>
      </c>
      <c r="H29" s="16" t="s">
        <v>62</v>
      </c>
      <c r="I29" s="22" t="s">
        <v>28</v>
      </c>
    </row>
    <row r="30" spans="1:9" ht="20.100000000000001" customHeight="1">
      <c r="A30" s="25" t="s">
        <v>44</v>
      </c>
      <c r="B30" s="16" t="s">
        <v>60</v>
      </c>
      <c r="C30" s="14">
        <v>0</v>
      </c>
      <c r="D30" s="15">
        <v>106.92</v>
      </c>
      <c r="E30" s="15">
        <v>383.32</v>
      </c>
      <c r="F30" s="29">
        <v>40984.57</v>
      </c>
      <c r="G30" s="14" t="s">
        <v>61</v>
      </c>
      <c r="H30" s="16" t="s">
        <v>62</v>
      </c>
      <c r="I30" s="22" t="s">
        <v>28</v>
      </c>
    </row>
    <row r="31" spans="1:9" ht="20.100000000000001" customHeight="1">
      <c r="A31" s="25" t="s">
        <v>44</v>
      </c>
      <c r="B31" s="16" t="s">
        <v>63</v>
      </c>
      <c r="C31" s="14">
        <v>0</v>
      </c>
      <c r="D31" s="15">
        <v>102.13</v>
      </c>
      <c r="E31" s="15">
        <v>197.69</v>
      </c>
      <c r="F31" s="29">
        <v>20190.080000000002</v>
      </c>
      <c r="G31" s="14" t="s">
        <v>61</v>
      </c>
      <c r="H31" s="16" t="s">
        <v>62</v>
      </c>
      <c r="I31" s="22" t="s">
        <v>28</v>
      </c>
    </row>
    <row r="32" spans="1:9" ht="20.100000000000001" customHeight="1">
      <c r="A32" s="25" t="s">
        <v>45</v>
      </c>
      <c r="B32" s="16" t="s">
        <v>60</v>
      </c>
      <c r="C32" s="14">
        <v>0</v>
      </c>
      <c r="D32" s="15">
        <v>106.92</v>
      </c>
      <c r="E32" s="15">
        <v>337.29</v>
      </c>
      <c r="F32" s="29">
        <v>36063.050000000003</v>
      </c>
      <c r="G32" s="14" t="s">
        <v>61</v>
      </c>
      <c r="H32" s="16" t="s">
        <v>62</v>
      </c>
      <c r="I32" s="22" t="s">
        <v>28</v>
      </c>
    </row>
    <row r="33" spans="1:9" ht="20.100000000000001" customHeight="1">
      <c r="A33" s="25" t="s">
        <v>45</v>
      </c>
      <c r="B33" s="16" t="s">
        <v>63</v>
      </c>
      <c r="C33" s="14">
        <v>0</v>
      </c>
      <c r="D33" s="15">
        <v>102.13</v>
      </c>
      <c r="E33" s="15">
        <v>61.1</v>
      </c>
      <c r="F33" s="29">
        <v>6240.14</v>
      </c>
      <c r="G33" s="14" t="s">
        <v>61</v>
      </c>
      <c r="H33" s="16" t="s">
        <v>62</v>
      </c>
      <c r="I33" s="22" t="s">
        <v>28</v>
      </c>
    </row>
    <row r="34" spans="1:9" ht="20.100000000000001" customHeight="1">
      <c r="A34" s="25" t="s">
        <v>46</v>
      </c>
      <c r="B34" s="16" t="s">
        <v>60</v>
      </c>
      <c r="C34" s="14">
        <v>0</v>
      </c>
      <c r="D34" s="15">
        <v>106.92</v>
      </c>
      <c r="E34" s="15">
        <v>367.65</v>
      </c>
      <c r="F34" s="29">
        <v>39309.14</v>
      </c>
      <c r="G34" s="14" t="s">
        <v>61</v>
      </c>
      <c r="H34" s="16" t="s">
        <v>62</v>
      </c>
      <c r="I34" s="22" t="s">
        <v>28</v>
      </c>
    </row>
    <row r="35" spans="1:9" ht="20.100000000000001" customHeight="1">
      <c r="A35" s="25" t="s">
        <v>46</v>
      </c>
      <c r="B35" s="16" t="s">
        <v>63</v>
      </c>
      <c r="C35" s="14">
        <v>0</v>
      </c>
      <c r="D35" s="15">
        <v>102.13</v>
      </c>
      <c r="E35" s="15">
        <v>28.49</v>
      </c>
      <c r="F35" s="29">
        <v>2909.68</v>
      </c>
      <c r="G35" s="14" t="s">
        <v>61</v>
      </c>
      <c r="H35" s="16" t="s">
        <v>62</v>
      </c>
      <c r="I35" s="22" t="s">
        <v>28</v>
      </c>
    </row>
    <row r="36" spans="1:9" ht="20.100000000000001" customHeight="1">
      <c r="A36" s="25" t="s">
        <v>47</v>
      </c>
      <c r="B36" s="16" t="s">
        <v>60</v>
      </c>
      <c r="C36" s="14">
        <v>0</v>
      </c>
      <c r="D36" s="15">
        <v>106.92</v>
      </c>
      <c r="E36" s="15">
        <v>435.28</v>
      </c>
      <c r="F36" s="29">
        <v>46540.14</v>
      </c>
      <c r="G36" s="14" t="s">
        <v>61</v>
      </c>
      <c r="H36" s="16" t="s">
        <v>62</v>
      </c>
      <c r="I36" s="22" t="s">
        <v>28</v>
      </c>
    </row>
    <row r="37" spans="1:9" ht="20.100000000000001" customHeight="1">
      <c r="A37" s="25" t="s">
        <v>47</v>
      </c>
      <c r="B37" s="16" t="s">
        <v>63</v>
      </c>
      <c r="C37" s="14">
        <v>0</v>
      </c>
      <c r="D37" s="15">
        <v>102.13</v>
      </c>
      <c r="E37" s="15">
        <v>103.81</v>
      </c>
      <c r="F37" s="29">
        <v>10602.12</v>
      </c>
      <c r="G37" s="14" t="s">
        <v>61</v>
      </c>
      <c r="H37" s="16" t="s">
        <v>62</v>
      </c>
      <c r="I37" s="22" t="s">
        <v>28</v>
      </c>
    </row>
    <row r="38" spans="1:9" ht="20.100000000000001" customHeight="1">
      <c r="A38" s="25" t="s">
        <v>48</v>
      </c>
      <c r="B38" s="16" t="s">
        <v>60</v>
      </c>
      <c r="C38" s="14">
        <v>0</v>
      </c>
      <c r="D38" s="15">
        <v>106.92</v>
      </c>
      <c r="E38" s="15">
        <f>+'Fuel Stock Ledger'!D22</f>
        <v>336.64</v>
      </c>
      <c r="F38" s="29">
        <f>+E38*D38</f>
        <v>35993.548799999997</v>
      </c>
      <c r="G38" s="14" t="s">
        <v>61</v>
      </c>
      <c r="H38" s="16" t="s">
        <v>62</v>
      </c>
      <c r="I38" s="22" t="s">
        <v>28</v>
      </c>
    </row>
    <row r="39" spans="1:9" ht="20.100000000000001" customHeight="1">
      <c r="A39" s="25" t="s">
        <v>48</v>
      </c>
      <c r="B39" s="16" t="s">
        <v>63</v>
      </c>
      <c r="C39" s="14">
        <v>0</v>
      </c>
      <c r="D39" s="15">
        <v>102.13</v>
      </c>
      <c r="E39" s="15">
        <f>+'Fuel Stock Ledger'!I22</f>
        <v>108.5</v>
      </c>
      <c r="F39" s="29">
        <f>+E39*D39</f>
        <v>11081.105</v>
      </c>
      <c r="G39" s="14" t="s">
        <v>61</v>
      </c>
      <c r="H39" s="16" t="s">
        <v>62</v>
      </c>
      <c r="I39" s="22" t="s">
        <v>28</v>
      </c>
    </row>
    <row r="40" spans="1:9" ht="20.100000000000001" customHeight="1">
      <c r="A40" s="25" t="s">
        <v>258</v>
      </c>
      <c r="B40" s="16" t="s">
        <v>60</v>
      </c>
      <c r="C40" s="14">
        <v>0</v>
      </c>
      <c r="D40" s="15">
        <v>106.92</v>
      </c>
      <c r="E40" s="15"/>
      <c r="F40" s="29">
        <f t="shared" ref="F40:F41" si="0">+E40*D40</f>
        <v>0</v>
      </c>
      <c r="G40" s="14" t="s">
        <v>61</v>
      </c>
      <c r="H40" s="16" t="s">
        <v>62</v>
      </c>
      <c r="I40" s="22" t="s">
        <v>28</v>
      </c>
    </row>
    <row r="41" spans="1:9" ht="20.100000000000001" customHeight="1">
      <c r="A41" s="25" t="s">
        <v>258</v>
      </c>
      <c r="B41" s="16" t="s">
        <v>63</v>
      </c>
      <c r="C41" s="14">
        <v>0</v>
      </c>
      <c r="D41" s="15">
        <v>102.13</v>
      </c>
      <c r="E41" s="15"/>
      <c r="F41" s="29">
        <f t="shared" si="0"/>
        <v>0</v>
      </c>
      <c r="G41" s="14" t="s">
        <v>61</v>
      </c>
      <c r="H41" s="16" t="s">
        <v>62</v>
      </c>
      <c r="I41" s="22" t="s">
        <v>28</v>
      </c>
    </row>
    <row r="42" spans="1:9" ht="20.100000000000001" customHeight="1">
      <c r="A42" s="25"/>
      <c r="B42" s="16"/>
      <c r="C42" s="14"/>
      <c r="D42" s="15"/>
      <c r="E42" s="15"/>
      <c r="F42" s="29"/>
      <c r="G42" s="14"/>
      <c r="H42" s="16"/>
      <c r="I42" s="22"/>
    </row>
    <row r="43" spans="1:9" ht="20.100000000000001" customHeight="1">
      <c r="A43" s="25"/>
      <c r="B43" s="16"/>
      <c r="C43" s="14"/>
      <c r="D43" s="15"/>
      <c r="E43" s="15"/>
      <c r="F43" s="29"/>
      <c r="G43" s="14"/>
      <c r="H43" s="16"/>
      <c r="I43" s="22"/>
    </row>
    <row r="44" spans="1:9" ht="20.100000000000001" customHeight="1">
      <c r="A44" s="25"/>
      <c r="B44" s="16"/>
      <c r="C44" s="14"/>
      <c r="D44" s="15"/>
      <c r="E44" s="15"/>
      <c r="F44" s="29"/>
      <c r="G44" s="14"/>
      <c r="H44" s="16"/>
      <c r="I44" s="22"/>
    </row>
    <row r="45" spans="1:9" ht="20.100000000000001" customHeight="1">
      <c r="A45" s="25"/>
      <c r="B45" s="16"/>
      <c r="C45" s="14"/>
      <c r="D45" s="15"/>
      <c r="E45" s="15"/>
      <c r="F45" s="29"/>
      <c r="G45" s="14"/>
      <c r="H45" s="16"/>
      <c r="I45" s="22"/>
    </row>
    <row r="46" spans="1:9" ht="20.100000000000001" customHeight="1">
      <c r="A46" s="25"/>
      <c r="B46" s="16"/>
      <c r="C46" s="14"/>
      <c r="D46" s="15"/>
      <c r="E46" s="15"/>
      <c r="F46" s="29"/>
      <c r="G46" s="14"/>
      <c r="H46" s="16"/>
      <c r="I46" s="22"/>
    </row>
    <row r="47" spans="1:9" ht="20.100000000000001" customHeight="1">
      <c r="A47" s="25"/>
      <c r="B47" s="16"/>
      <c r="C47" s="14"/>
      <c r="D47" s="15"/>
      <c r="E47" s="15"/>
      <c r="F47" s="29"/>
      <c r="G47" s="14"/>
      <c r="H47" s="16"/>
      <c r="I47" s="22"/>
    </row>
    <row r="48" spans="1:9" ht="20.100000000000001" customHeight="1">
      <c r="A48" s="25"/>
      <c r="B48" s="16"/>
      <c r="C48" s="14"/>
      <c r="D48" s="15"/>
      <c r="E48" s="15"/>
      <c r="F48" s="29"/>
      <c r="G48" s="14"/>
      <c r="H48" s="16"/>
      <c r="I48" s="22"/>
    </row>
    <row r="49" spans="1:9" ht="20.100000000000001" customHeight="1">
      <c r="A49" s="25"/>
      <c r="B49" s="16"/>
      <c r="C49" s="14"/>
      <c r="D49" s="15"/>
      <c r="E49" s="15"/>
      <c r="F49" s="29"/>
      <c r="G49" s="14"/>
      <c r="H49" s="16"/>
      <c r="I49" s="22"/>
    </row>
    <row r="50" spans="1:9" ht="20.100000000000001" customHeight="1">
      <c r="A50" s="25"/>
      <c r="B50" s="16"/>
      <c r="C50" s="14"/>
      <c r="D50" s="15"/>
      <c r="E50" s="15"/>
      <c r="F50" s="29"/>
      <c r="G50" s="14"/>
      <c r="H50" s="16"/>
      <c r="I50" s="22"/>
    </row>
    <row r="51" spans="1:9" ht="20.100000000000001" customHeight="1">
      <c r="A51" s="25"/>
      <c r="B51" s="16"/>
      <c r="C51" s="14"/>
      <c r="D51" s="15"/>
      <c r="E51" s="15"/>
      <c r="F51" s="29"/>
      <c r="G51" s="14"/>
      <c r="H51" s="16"/>
      <c r="I51" s="22"/>
    </row>
    <row r="52" spans="1:9" ht="20.100000000000001" customHeight="1">
      <c r="A52" s="25"/>
      <c r="B52" s="16"/>
      <c r="C52" s="14"/>
      <c r="D52" s="15"/>
      <c r="E52" s="15"/>
      <c r="F52" s="29"/>
      <c r="G52" s="14"/>
      <c r="H52" s="16"/>
      <c r="I52" s="22"/>
    </row>
    <row r="53" spans="1:9" ht="20.100000000000001" customHeight="1">
      <c r="A53" s="25"/>
      <c r="B53" s="16"/>
      <c r="C53" s="14"/>
      <c r="D53" s="15"/>
      <c r="E53" s="15"/>
      <c r="F53" s="29"/>
      <c r="G53" s="14"/>
      <c r="H53" s="16"/>
      <c r="I53" s="22"/>
    </row>
    <row r="54" spans="1:9" ht="20.100000000000001" customHeight="1">
      <c r="A54" s="25"/>
      <c r="B54" s="16"/>
      <c r="C54" s="14"/>
      <c r="D54" s="15"/>
      <c r="E54" s="15"/>
      <c r="F54" s="29"/>
      <c r="G54" s="14"/>
      <c r="H54" s="16"/>
      <c r="I54" s="22"/>
    </row>
    <row r="55" spans="1:9" ht="20.100000000000001" customHeight="1">
      <c r="A55" s="25"/>
      <c r="B55" s="16"/>
      <c r="C55" s="14"/>
      <c r="D55" s="15"/>
      <c r="E55" s="15"/>
      <c r="F55" s="29"/>
      <c r="G55" s="14"/>
      <c r="H55" s="16"/>
      <c r="I55" s="22"/>
    </row>
    <row r="56" spans="1:9" ht="20.100000000000001" customHeight="1">
      <c r="A56" s="25"/>
      <c r="B56" s="16"/>
      <c r="C56" s="14"/>
      <c r="D56" s="15"/>
      <c r="E56" s="15"/>
      <c r="F56" s="29"/>
      <c r="G56" s="14"/>
      <c r="H56" s="16"/>
      <c r="I56" s="22"/>
    </row>
    <row r="57" spans="1:9" ht="20.100000000000001" customHeight="1">
      <c r="A57" s="25"/>
      <c r="B57" s="16"/>
      <c r="C57" s="14"/>
      <c r="D57" s="15"/>
      <c r="E57" s="15"/>
      <c r="F57" s="29"/>
      <c r="G57" s="14"/>
      <c r="H57" s="16"/>
      <c r="I57" s="22"/>
    </row>
    <row r="58" spans="1:9" ht="20.100000000000001" customHeight="1">
      <c r="A58" s="25"/>
      <c r="B58" s="16"/>
      <c r="C58" s="14"/>
      <c r="D58" s="15"/>
      <c r="E58" s="15"/>
      <c r="F58" s="29"/>
      <c r="G58" s="14"/>
      <c r="H58" s="16"/>
      <c r="I58" s="22"/>
    </row>
    <row r="59" spans="1:9" ht="20.100000000000001" customHeight="1">
      <c r="A59" s="25"/>
      <c r="B59" s="16"/>
      <c r="C59" s="14"/>
      <c r="D59" s="15"/>
      <c r="E59" s="15"/>
      <c r="F59" s="29"/>
      <c r="G59" s="14"/>
      <c r="H59" s="16"/>
      <c r="I59" s="22"/>
    </row>
    <row r="60" spans="1:9" ht="20.100000000000001" customHeight="1">
      <c r="A60" s="25"/>
      <c r="B60" s="16"/>
      <c r="C60" s="14"/>
      <c r="D60" s="15"/>
      <c r="E60" s="15"/>
      <c r="F60" s="29"/>
      <c r="G60" s="14"/>
      <c r="H60" s="16"/>
      <c r="I60" s="22"/>
    </row>
    <row r="61" spans="1:9" ht="20.100000000000001" customHeight="1">
      <c r="A61" s="25"/>
      <c r="B61" s="16"/>
      <c r="C61" s="14"/>
      <c r="D61" s="15"/>
      <c r="E61" s="15"/>
      <c r="F61" s="29"/>
      <c r="G61" s="14"/>
      <c r="H61" s="16"/>
      <c r="I61" s="22"/>
    </row>
    <row r="62" spans="1:9" ht="20.100000000000001" customHeight="1">
      <c r="A62" s="25"/>
      <c r="B62" s="16"/>
      <c r="C62" s="14"/>
      <c r="D62" s="15"/>
      <c r="E62" s="15"/>
      <c r="F62" s="29"/>
      <c r="G62" s="14"/>
      <c r="H62" s="16"/>
      <c r="I62" s="22"/>
    </row>
    <row r="63" spans="1:9" ht="20.100000000000001" customHeight="1" thickBot="1">
      <c r="A63" s="25"/>
      <c r="B63" s="16"/>
      <c r="C63" s="14"/>
      <c r="D63" s="15"/>
      <c r="E63" s="15"/>
      <c r="F63" s="29"/>
      <c r="G63" s="14"/>
      <c r="H63" s="16"/>
      <c r="I63" s="22"/>
    </row>
    <row r="64" spans="1:9" ht="20.100000000000001" customHeight="1" thickBot="1">
      <c r="A64" s="30" t="s">
        <v>70</v>
      </c>
      <c r="B64" s="31" t="s">
        <v>50</v>
      </c>
      <c r="C64" s="32" t="s">
        <v>50</v>
      </c>
      <c r="D64" s="31" t="s">
        <v>50</v>
      </c>
      <c r="E64" s="33">
        <f>SUM(E3:E63)</f>
        <v>9502.76</v>
      </c>
      <c r="F64" s="34">
        <f>SUM(F3:F63)</f>
        <v>1002466.4838</v>
      </c>
      <c r="G64" s="32" t="s">
        <v>50</v>
      </c>
      <c r="H64" s="31" t="s">
        <v>50</v>
      </c>
      <c r="I64" s="35" t="s">
        <v>50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4"/>
  <sheetViews>
    <sheetView workbookViewId="0">
      <selection activeCell="H26" sqref="H26"/>
    </sheetView>
  </sheetViews>
  <sheetFormatPr defaultRowHeight="16.5"/>
  <cols>
    <col min="1" max="1" width="13.7109375" style="41" customWidth="1"/>
    <col min="2" max="2" width="21.140625" style="41" customWidth="1"/>
    <col min="3" max="3" width="21.7109375" style="41" customWidth="1"/>
    <col min="4" max="4" width="21.85546875" style="41" customWidth="1"/>
    <col min="5" max="5" width="17" style="41" customWidth="1"/>
    <col min="6" max="6" width="22.5703125" style="41" customWidth="1"/>
    <col min="7" max="7" width="18.42578125" style="41" customWidth="1"/>
    <col min="8" max="16384" width="9.140625" style="41"/>
  </cols>
  <sheetData>
    <row r="1" spans="1:7" ht="31.5" thickBot="1">
      <c r="A1" s="109" t="s">
        <v>257</v>
      </c>
      <c r="B1" s="110"/>
      <c r="C1" s="110"/>
      <c r="D1" s="110"/>
      <c r="E1" s="110"/>
      <c r="F1" s="110"/>
      <c r="G1" s="111"/>
    </row>
    <row r="2" spans="1:7" ht="33">
      <c r="A2" s="64" t="s">
        <v>17</v>
      </c>
      <c r="B2" s="65" t="s">
        <v>52</v>
      </c>
      <c r="C2" s="65" t="s">
        <v>292</v>
      </c>
      <c r="D2" s="65" t="s">
        <v>55</v>
      </c>
      <c r="E2" s="65" t="s">
        <v>293</v>
      </c>
      <c r="F2" s="65" t="s">
        <v>294</v>
      </c>
      <c r="G2" s="66" t="s">
        <v>26</v>
      </c>
    </row>
    <row r="3" spans="1:7">
      <c r="A3" s="100">
        <v>46260</v>
      </c>
      <c r="B3" s="97" t="s">
        <v>60</v>
      </c>
      <c r="C3" s="98">
        <v>9024681788</v>
      </c>
      <c r="D3" s="99">
        <v>5000</v>
      </c>
      <c r="E3" s="99">
        <v>103.2954</v>
      </c>
      <c r="F3" s="99">
        <v>516477</v>
      </c>
      <c r="G3" s="101" t="s">
        <v>28</v>
      </c>
    </row>
    <row r="4" spans="1:7">
      <c r="A4" s="100">
        <v>46260</v>
      </c>
      <c r="B4" s="97" t="s">
        <v>295</v>
      </c>
      <c r="C4" s="98">
        <v>9024681788</v>
      </c>
      <c r="D4" s="99">
        <v>9000</v>
      </c>
      <c r="E4" s="99">
        <v>99.769270000000006</v>
      </c>
      <c r="F4" s="99">
        <v>897923.43</v>
      </c>
      <c r="G4" s="101" t="s">
        <v>28</v>
      </c>
    </row>
    <row r="5" spans="1:7">
      <c r="A5" s="102">
        <v>46274</v>
      </c>
      <c r="B5" s="97" t="s">
        <v>60</v>
      </c>
      <c r="C5" s="99">
        <v>9025011982</v>
      </c>
      <c r="D5" s="99">
        <v>8000</v>
      </c>
      <c r="E5" s="99">
        <v>103.1169125</v>
      </c>
      <c r="F5" s="99">
        <v>824935.3</v>
      </c>
      <c r="G5" s="101" t="s">
        <v>28</v>
      </c>
    </row>
    <row r="6" spans="1:7">
      <c r="A6" s="102">
        <v>46274</v>
      </c>
      <c r="B6" s="97" t="s">
        <v>295</v>
      </c>
      <c r="C6" s="99">
        <v>9025011982</v>
      </c>
      <c r="D6" s="99">
        <v>4000</v>
      </c>
      <c r="E6" s="99">
        <v>99.729367499999995</v>
      </c>
      <c r="F6" s="99">
        <v>398917.47</v>
      </c>
      <c r="G6" s="101" t="s">
        <v>28</v>
      </c>
    </row>
    <row r="7" spans="1:7">
      <c r="A7" s="103"/>
      <c r="B7" s="97"/>
      <c r="C7" s="97"/>
      <c r="D7" s="97"/>
      <c r="E7" s="97"/>
      <c r="F7" s="97"/>
      <c r="G7" s="104"/>
    </row>
    <row r="8" spans="1:7">
      <c r="A8" s="105"/>
      <c r="B8" s="97"/>
      <c r="C8" s="97"/>
      <c r="D8" s="97"/>
      <c r="E8" s="97"/>
      <c r="F8" s="97"/>
      <c r="G8" s="104"/>
    </row>
    <row r="9" spans="1:7">
      <c r="A9" s="105"/>
      <c r="B9" s="97"/>
      <c r="C9" s="97"/>
      <c r="D9" s="97"/>
      <c r="E9" s="97"/>
      <c r="F9" s="97"/>
      <c r="G9" s="104"/>
    </row>
    <row r="10" spans="1:7">
      <c r="A10" s="105"/>
      <c r="B10" s="97"/>
      <c r="C10" s="97"/>
      <c r="D10" s="97"/>
      <c r="E10" s="97"/>
      <c r="F10" s="97"/>
      <c r="G10" s="104"/>
    </row>
    <row r="11" spans="1:7">
      <c r="A11" s="105"/>
      <c r="B11" s="97"/>
      <c r="C11" s="97"/>
      <c r="D11" s="97"/>
      <c r="E11" s="97"/>
      <c r="F11" s="97"/>
      <c r="G11" s="104"/>
    </row>
    <row r="12" spans="1:7">
      <c r="A12" s="105"/>
      <c r="B12" s="97"/>
      <c r="C12" s="97"/>
      <c r="D12" s="97"/>
      <c r="E12" s="97"/>
      <c r="F12" s="97"/>
      <c r="G12" s="104"/>
    </row>
    <row r="13" spans="1:7">
      <c r="A13" s="105"/>
      <c r="B13" s="97"/>
      <c r="C13" s="97"/>
      <c r="D13" s="97"/>
      <c r="E13" s="97"/>
      <c r="F13" s="97"/>
      <c r="G13" s="104"/>
    </row>
    <row r="14" spans="1:7" ht="21" thickBot="1">
      <c r="A14" s="93"/>
      <c r="B14" s="94"/>
      <c r="C14" s="94"/>
      <c r="D14" s="95">
        <f>SUM(D3:D13)</f>
        <v>26000</v>
      </c>
      <c r="E14" s="94"/>
      <c r="F14" s="95">
        <f>SUM(F3:F13)</f>
        <v>2638253.2000000002</v>
      </c>
      <c r="G14" s="96"/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5"/>
  <sheetViews>
    <sheetView workbookViewId="0">
      <selection activeCell="D39" sqref="D39"/>
    </sheetView>
  </sheetViews>
  <sheetFormatPr defaultRowHeight="15"/>
  <cols>
    <col min="1" max="1" width="17.42578125" customWidth="1"/>
    <col min="2" max="2" width="22" customWidth="1"/>
    <col min="3" max="3" width="42" customWidth="1"/>
    <col min="4" max="4" width="16.28515625" customWidth="1"/>
    <col min="5" max="5" width="18" customWidth="1"/>
    <col min="6" max="6" width="17.7109375" customWidth="1"/>
    <col min="7" max="7" width="12" customWidth="1"/>
  </cols>
  <sheetData>
    <row r="1" spans="1:7" ht="35.1" customHeight="1" thickBot="1">
      <c r="A1" s="112" t="s">
        <v>71</v>
      </c>
      <c r="B1" s="113"/>
      <c r="C1" s="113"/>
      <c r="D1" s="113"/>
      <c r="E1" s="113"/>
      <c r="F1" s="113"/>
      <c r="G1" s="114"/>
    </row>
    <row r="2" spans="1:7" ht="24.95" customHeight="1">
      <c r="A2" s="17" t="s">
        <v>17</v>
      </c>
      <c r="B2" s="18" t="s">
        <v>72</v>
      </c>
      <c r="C2" s="18" t="s">
        <v>73</v>
      </c>
      <c r="D2" s="18" t="s">
        <v>74</v>
      </c>
      <c r="E2" s="18" t="s">
        <v>75</v>
      </c>
      <c r="F2" s="18" t="s">
        <v>76</v>
      </c>
      <c r="G2" s="19" t="s">
        <v>26</v>
      </c>
    </row>
    <row r="3" spans="1:7" ht="20.100000000000001" customHeight="1">
      <c r="A3" s="20" t="s">
        <v>77</v>
      </c>
      <c r="B3" s="3" t="s">
        <v>78</v>
      </c>
      <c r="C3" s="3" t="s">
        <v>79</v>
      </c>
      <c r="D3" s="4">
        <v>3000000</v>
      </c>
      <c r="E3" s="4">
        <v>0</v>
      </c>
      <c r="F3" s="4">
        <v>3000000</v>
      </c>
      <c r="G3" s="21" t="s">
        <v>28</v>
      </c>
    </row>
    <row r="4" spans="1:7" ht="20.100000000000001" customHeight="1">
      <c r="A4" s="20" t="s">
        <v>77</v>
      </c>
      <c r="B4" s="3" t="s">
        <v>80</v>
      </c>
      <c r="C4" s="3" t="s">
        <v>81</v>
      </c>
      <c r="D4" s="4">
        <v>0</v>
      </c>
      <c r="E4" s="4">
        <v>17700</v>
      </c>
      <c r="F4" s="4">
        <v>2982300</v>
      </c>
      <c r="G4" s="21" t="s">
        <v>28</v>
      </c>
    </row>
    <row r="5" spans="1:7" ht="20.100000000000001" customHeight="1">
      <c r="A5" s="20" t="s">
        <v>77</v>
      </c>
      <c r="B5" s="3" t="s">
        <v>80</v>
      </c>
      <c r="C5" s="3" t="s">
        <v>82</v>
      </c>
      <c r="D5" s="4">
        <v>0</v>
      </c>
      <c r="E5" s="4">
        <v>900000</v>
      </c>
      <c r="F5" s="4">
        <v>2082300</v>
      </c>
      <c r="G5" s="21" t="s">
        <v>28</v>
      </c>
    </row>
    <row r="6" spans="1:7" ht="20.100000000000001" customHeight="1">
      <c r="A6" s="20" t="s">
        <v>77</v>
      </c>
      <c r="B6" s="3" t="s">
        <v>80</v>
      </c>
      <c r="C6" s="3" t="s">
        <v>83</v>
      </c>
      <c r="D6" s="4">
        <v>0</v>
      </c>
      <c r="E6" s="4">
        <v>900000</v>
      </c>
      <c r="F6" s="4">
        <v>1182300</v>
      </c>
      <c r="G6" s="21" t="s">
        <v>28</v>
      </c>
    </row>
    <row r="7" spans="1:7" ht="20.100000000000001" customHeight="1">
      <c r="A7" s="20" t="s">
        <v>84</v>
      </c>
      <c r="B7" s="3" t="s">
        <v>80</v>
      </c>
      <c r="C7" s="3" t="s">
        <v>85</v>
      </c>
      <c r="D7" s="4">
        <v>0</v>
      </c>
      <c r="E7" s="4">
        <v>14160</v>
      </c>
      <c r="F7" s="4">
        <v>1168140</v>
      </c>
      <c r="G7" s="21" t="s">
        <v>28</v>
      </c>
    </row>
    <row r="8" spans="1:7" ht="20.100000000000001" customHeight="1">
      <c r="A8" s="20" t="s">
        <v>29</v>
      </c>
      <c r="B8" s="3" t="s">
        <v>80</v>
      </c>
      <c r="C8" s="3" t="s">
        <v>86</v>
      </c>
      <c r="D8" s="4">
        <v>39745</v>
      </c>
      <c r="E8" s="4">
        <v>0</v>
      </c>
      <c r="F8" s="4">
        <v>1207885</v>
      </c>
      <c r="G8" s="21" t="s">
        <v>28</v>
      </c>
    </row>
    <row r="9" spans="1:7" ht="20.100000000000001" customHeight="1">
      <c r="A9" s="20" t="s">
        <v>30</v>
      </c>
      <c r="B9" s="3" t="s">
        <v>80</v>
      </c>
      <c r="C9" s="3" t="s">
        <v>86</v>
      </c>
      <c r="D9" s="4">
        <v>33573</v>
      </c>
      <c r="E9" s="4">
        <v>0</v>
      </c>
      <c r="F9" s="4">
        <v>1241458</v>
      </c>
      <c r="G9" s="21" t="s">
        <v>28</v>
      </c>
    </row>
    <row r="10" spans="1:7" ht="20.100000000000001" customHeight="1">
      <c r="A10" s="20" t="s">
        <v>31</v>
      </c>
      <c r="B10" s="3" t="s">
        <v>80</v>
      </c>
      <c r="C10" s="3" t="s">
        <v>86</v>
      </c>
      <c r="D10" s="4">
        <v>10074</v>
      </c>
      <c r="E10" s="4">
        <v>0</v>
      </c>
      <c r="F10" s="4">
        <v>1251532</v>
      </c>
      <c r="G10" s="21" t="s">
        <v>28</v>
      </c>
    </row>
    <row r="11" spans="1:7" ht="20.100000000000001" customHeight="1">
      <c r="A11" s="20" t="s">
        <v>32</v>
      </c>
      <c r="B11" s="3" t="s">
        <v>80</v>
      </c>
      <c r="C11" s="3" t="s">
        <v>86</v>
      </c>
      <c r="D11" s="4">
        <v>13815</v>
      </c>
      <c r="E11" s="4">
        <v>0</v>
      </c>
      <c r="F11" s="4">
        <v>1265347</v>
      </c>
      <c r="G11" s="21" t="s">
        <v>28</v>
      </c>
    </row>
    <row r="12" spans="1:7" ht="20.100000000000001" customHeight="1">
      <c r="A12" s="20" t="s">
        <v>33</v>
      </c>
      <c r="B12" s="3" t="s">
        <v>80</v>
      </c>
      <c r="C12" s="3" t="s">
        <v>87</v>
      </c>
      <c r="D12" s="4">
        <v>14082</v>
      </c>
      <c r="E12" s="4">
        <v>3992</v>
      </c>
      <c r="F12" s="4">
        <v>1275437</v>
      </c>
      <c r="G12" s="21" t="s">
        <v>28</v>
      </c>
    </row>
    <row r="13" spans="1:7" ht="20.100000000000001" customHeight="1">
      <c r="A13" s="20" t="s">
        <v>34</v>
      </c>
      <c r="B13" s="3" t="s">
        <v>80</v>
      </c>
      <c r="C13" s="3" t="s">
        <v>86</v>
      </c>
      <c r="D13" s="4">
        <v>2974</v>
      </c>
      <c r="E13" s="4">
        <v>0</v>
      </c>
      <c r="F13" s="4">
        <v>1278411</v>
      </c>
      <c r="G13" s="21" t="s">
        <v>28</v>
      </c>
    </row>
    <row r="14" spans="1:7" ht="20.100000000000001" customHeight="1">
      <c r="A14" s="20" t="s">
        <v>35</v>
      </c>
      <c r="B14" s="3" t="s">
        <v>80</v>
      </c>
      <c r="C14" s="3" t="s">
        <v>86</v>
      </c>
      <c r="D14" s="4">
        <v>12059.84</v>
      </c>
      <c r="E14" s="4">
        <v>0</v>
      </c>
      <c r="F14" s="4">
        <v>1290470.8400000001</v>
      </c>
      <c r="G14" s="21" t="s">
        <v>28</v>
      </c>
    </row>
    <row r="15" spans="1:7" ht="20.100000000000001" customHeight="1">
      <c r="A15" s="20" t="s">
        <v>36</v>
      </c>
      <c r="B15" s="3" t="s">
        <v>80</v>
      </c>
      <c r="C15" s="3" t="s">
        <v>86</v>
      </c>
      <c r="D15" s="4">
        <v>25275</v>
      </c>
      <c r="E15" s="4">
        <v>0</v>
      </c>
      <c r="F15" s="4">
        <v>1315745.8400000001</v>
      </c>
      <c r="G15" s="21" t="s">
        <v>28</v>
      </c>
    </row>
    <row r="16" spans="1:7" ht="20.100000000000001" customHeight="1">
      <c r="A16" s="20" t="s">
        <v>37</v>
      </c>
      <c r="B16" s="3" t="s">
        <v>80</v>
      </c>
      <c r="C16" s="3" t="s">
        <v>86</v>
      </c>
      <c r="D16" s="4">
        <v>17603</v>
      </c>
      <c r="E16" s="4">
        <v>0</v>
      </c>
      <c r="F16" s="4">
        <v>1333348.8400000001</v>
      </c>
      <c r="G16" s="21" t="s">
        <v>28</v>
      </c>
    </row>
    <row r="17" spans="1:7" ht="20.100000000000001" customHeight="1">
      <c r="A17" s="20" t="s">
        <v>38</v>
      </c>
      <c r="B17" s="3" t="s">
        <v>80</v>
      </c>
      <c r="C17" s="3" t="s">
        <v>86</v>
      </c>
      <c r="D17" s="4">
        <v>1031</v>
      </c>
      <c r="E17" s="4">
        <v>0</v>
      </c>
      <c r="F17" s="4">
        <v>1334379.8400000001</v>
      </c>
      <c r="G17" s="21" t="s">
        <v>28</v>
      </c>
    </row>
    <row r="18" spans="1:7" ht="20.100000000000001" customHeight="1">
      <c r="A18" s="20" t="s">
        <v>40</v>
      </c>
      <c r="B18" s="3" t="s">
        <v>80</v>
      </c>
      <c r="C18" s="3" t="s">
        <v>86</v>
      </c>
      <c r="D18" s="4">
        <v>26758</v>
      </c>
      <c r="E18" s="4">
        <v>0</v>
      </c>
      <c r="F18" s="4">
        <v>1361137.84</v>
      </c>
      <c r="G18" s="21" t="s">
        <v>28</v>
      </c>
    </row>
    <row r="19" spans="1:7" ht="20.100000000000001" customHeight="1">
      <c r="A19" s="20" t="s">
        <v>41</v>
      </c>
      <c r="B19" s="3" t="s">
        <v>80</v>
      </c>
      <c r="C19" s="3" t="s">
        <v>86</v>
      </c>
      <c r="D19" s="4">
        <v>21038</v>
      </c>
      <c r="E19" s="4">
        <v>0</v>
      </c>
      <c r="F19" s="4">
        <v>1382175.84</v>
      </c>
      <c r="G19" s="21" t="s">
        <v>28</v>
      </c>
    </row>
    <row r="20" spans="1:7" ht="20.100000000000001" customHeight="1">
      <c r="A20" s="20" t="s">
        <v>42</v>
      </c>
      <c r="B20" s="3" t="s">
        <v>80</v>
      </c>
      <c r="C20" s="3" t="s">
        <v>88</v>
      </c>
      <c r="D20" s="4">
        <v>17356</v>
      </c>
      <c r="E20" s="4">
        <v>820000</v>
      </c>
      <c r="F20" s="4">
        <v>579531.84</v>
      </c>
      <c r="G20" s="21" t="s">
        <v>28</v>
      </c>
    </row>
    <row r="21" spans="1:7" ht="20.100000000000001" customHeight="1">
      <c r="A21" s="20" t="s">
        <v>43</v>
      </c>
      <c r="B21" s="3" t="s">
        <v>80</v>
      </c>
      <c r="C21" s="3" t="s">
        <v>86</v>
      </c>
      <c r="D21" s="4">
        <v>17750</v>
      </c>
      <c r="E21" s="4">
        <v>0</v>
      </c>
      <c r="F21" s="4">
        <v>597281.84</v>
      </c>
      <c r="G21" s="21" t="s">
        <v>28</v>
      </c>
    </row>
    <row r="22" spans="1:7" ht="20.100000000000001" customHeight="1">
      <c r="A22" s="20" t="s">
        <v>44</v>
      </c>
      <c r="B22" s="3" t="s">
        <v>80</v>
      </c>
      <c r="C22" s="3" t="s">
        <v>86</v>
      </c>
      <c r="D22" s="4">
        <v>21991</v>
      </c>
      <c r="E22" s="4">
        <v>0</v>
      </c>
      <c r="F22" s="4">
        <v>619272.84</v>
      </c>
      <c r="G22" s="21" t="s">
        <v>28</v>
      </c>
    </row>
    <row r="23" spans="1:7" ht="20.100000000000001" customHeight="1">
      <c r="A23" s="20" t="s">
        <v>45</v>
      </c>
      <c r="B23" s="3" t="s">
        <v>80</v>
      </c>
      <c r="C23" s="3" t="s">
        <v>86</v>
      </c>
      <c r="D23" s="4">
        <v>41398</v>
      </c>
      <c r="E23" s="4">
        <v>0</v>
      </c>
      <c r="F23" s="4">
        <v>660670.84</v>
      </c>
      <c r="G23" s="21" t="s">
        <v>28</v>
      </c>
    </row>
    <row r="24" spans="1:7" ht="20.100000000000001" customHeight="1">
      <c r="A24" s="20" t="s">
        <v>46</v>
      </c>
      <c r="B24" s="3" t="s">
        <v>80</v>
      </c>
      <c r="C24" s="3" t="s">
        <v>86</v>
      </c>
      <c r="D24" s="4">
        <v>27596</v>
      </c>
      <c r="E24" s="4">
        <v>0</v>
      </c>
      <c r="F24" s="4">
        <v>688266.84</v>
      </c>
      <c r="G24" s="21" t="s">
        <v>28</v>
      </c>
    </row>
    <row r="25" spans="1:7" ht="20.100000000000001" customHeight="1">
      <c r="A25" s="20" t="s">
        <v>47</v>
      </c>
      <c r="B25" s="3" t="s">
        <v>80</v>
      </c>
      <c r="C25" s="3" t="s">
        <v>86</v>
      </c>
      <c r="D25" s="4">
        <v>25315</v>
      </c>
      <c r="E25" s="4">
        <v>0</v>
      </c>
      <c r="F25" s="4">
        <v>713581.84</v>
      </c>
      <c r="G25" s="21" t="s">
        <v>28</v>
      </c>
    </row>
    <row r="26" spans="1:7" ht="20.100000000000001" customHeight="1">
      <c r="A26" s="20" t="s">
        <v>48</v>
      </c>
      <c r="B26" s="3" t="s">
        <v>80</v>
      </c>
      <c r="C26" s="3" t="s">
        <v>89</v>
      </c>
      <c r="D26" s="4">
        <v>24613</v>
      </c>
      <c r="E26" s="4">
        <v>0</v>
      </c>
      <c r="F26" s="4">
        <f>+F25+D26</f>
        <v>738194.84</v>
      </c>
      <c r="G26" s="21" t="s">
        <v>28</v>
      </c>
    </row>
    <row r="27" spans="1:7" ht="20.100000000000001" customHeight="1">
      <c r="A27" s="20" t="s">
        <v>258</v>
      </c>
      <c r="B27" s="3" t="s">
        <v>80</v>
      </c>
      <c r="C27" s="3" t="s">
        <v>89</v>
      </c>
      <c r="D27" s="29"/>
      <c r="E27" s="29"/>
      <c r="F27" s="4">
        <f>+F26+D27</f>
        <v>738194.84</v>
      </c>
      <c r="G27" s="21" t="s">
        <v>28</v>
      </c>
    </row>
    <row r="28" spans="1:7" ht="20.100000000000001" customHeight="1">
      <c r="A28" s="20" t="s">
        <v>259</v>
      </c>
      <c r="B28" s="16"/>
      <c r="C28" s="16"/>
      <c r="D28" s="29"/>
      <c r="E28" s="29"/>
      <c r="F28" s="29"/>
      <c r="G28" s="22"/>
    </row>
    <row r="29" spans="1:7" ht="20.100000000000001" customHeight="1">
      <c r="A29" s="20" t="s">
        <v>260</v>
      </c>
      <c r="B29" s="16"/>
      <c r="C29" s="16"/>
      <c r="D29" s="29"/>
      <c r="E29" s="29"/>
      <c r="F29" s="29"/>
      <c r="G29" s="22"/>
    </row>
    <row r="30" spans="1:7" ht="20.100000000000001" customHeight="1">
      <c r="A30" s="20" t="s">
        <v>261</v>
      </c>
      <c r="B30" s="16"/>
      <c r="C30" s="16"/>
      <c r="D30" s="29"/>
      <c r="E30" s="29"/>
      <c r="F30" s="29"/>
      <c r="G30" s="22"/>
    </row>
    <row r="31" spans="1:7" ht="20.100000000000001" customHeight="1">
      <c r="A31" s="20" t="s">
        <v>262</v>
      </c>
      <c r="B31" s="16"/>
      <c r="C31" s="16"/>
      <c r="D31" s="29"/>
      <c r="E31" s="29"/>
      <c r="F31" s="29"/>
      <c r="G31" s="22"/>
    </row>
    <row r="32" spans="1:7" ht="20.100000000000001" customHeight="1">
      <c r="A32" s="20" t="s">
        <v>263</v>
      </c>
      <c r="B32" s="16"/>
      <c r="C32" s="16"/>
      <c r="D32" s="29"/>
      <c r="E32" s="29"/>
      <c r="F32" s="29"/>
      <c r="G32" s="22"/>
    </row>
    <row r="33" spans="1:7" ht="20.100000000000001" customHeight="1">
      <c r="A33" s="20" t="s">
        <v>264</v>
      </c>
      <c r="B33" s="16"/>
      <c r="C33" s="16"/>
      <c r="D33" s="29"/>
      <c r="E33" s="29"/>
      <c r="F33" s="29"/>
      <c r="G33" s="22"/>
    </row>
    <row r="34" spans="1:7" ht="20.100000000000001" customHeight="1">
      <c r="A34" s="20" t="s">
        <v>265</v>
      </c>
      <c r="B34" s="16"/>
      <c r="C34" s="16"/>
      <c r="D34" s="29"/>
      <c r="E34" s="29"/>
      <c r="F34" s="29"/>
      <c r="G34" s="22"/>
    </row>
    <row r="35" spans="1:7" ht="20.100000000000001" customHeight="1">
      <c r="A35" s="20" t="s">
        <v>266</v>
      </c>
      <c r="B35" s="16"/>
      <c r="C35" s="16"/>
      <c r="D35" s="29"/>
      <c r="E35" s="29"/>
      <c r="F35" s="29"/>
      <c r="G35" s="22"/>
    </row>
    <row r="36" spans="1:7" ht="20.100000000000001" customHeight="1">
      <c r="A36" s="20" t="s">
        <v>267</v>
      </c>
      <c r="B36" s="16"/>
      <c r="C36" s="16"/>
      <c r="D36" s="29"/>
      <c r="E36" s="29"/>
      <c r="F36" s="29"/>
      <c r="G36" s="22"/>
    </row>
    <row r="37" spans="1:7" ht="20.100000000000001" customHeight="1">
      <c r="A37" s="20" t="s">
        <v>268</v>
      </c>
      <c r="B37" s="16"/>
      <c r="C37" s="16"/>
      <c r="D37" s="29"/>
      <c r="E37" s="29"/>
      <c r="F37" s="29"/>
      <c r="G37" s="22"/>
    </row>
    <row r="38" spans="1:7" ht="20.100000000000001" customHeight="1">
      <c r="A38" s="20" t="s">
        <v>269</v>
      </c>
      <c r="B38" s="16"/>
      <c r="C38" s="16"/>
      <c r="D38" s="29"/>
      <c r="E38" s="29"/>
      <c r="F38" s="29"/>
      <c r="G38" s="22"/>
    </row>
    <row r="39" spans="1:7" ht="20.100000000000001" customHeight="1">
      <c r="A39" s="20" t="s">
        <v>270</v>
      </c>
      <c r="B39" s="16"/>
      <c r="C39" s="16"/>
      <c r="D39" s="29"/>
      <c r="E39" s="29"/>
      <c r="F39" s="29"/>
      <c r="G39" s="22"/>
    </row>
    <row r="40" spans="1:7" ht="20.100000000000001" customHeight="1">
      <c r="A40" s="20" t="s">
        <v>271</v>
      </c>
      <c r="B40" s="16"/>
      <c r="C40" s="16"/>
      <c r="D40" s="29"/>
      <c r="E40" s="29"/>
      <c r="F40" s="29"/>
      <c r="G40" s="22"/>
    </row>
    <row r="41" spans="1:7" ht="20.100000000000001" customHeight="1">
      <c r="A41" s="20" t="s">
        <v>272</v>
      </c>
      <c r="B41" s="16"/>
      <c r="C41" s="16"/>
      <c r="D41" s="29"/>
      <c r="E41" s="29"/>
      <c r="F41" s="29"/>
      <c r="G41" s="22"/>
    </row>
    <row r="42" spans="1:7" ht="20.100000000000001" customHeight="1">
      <c r="A42" s="20" t="s">
        <v>273</v>
      </c>
      <c r="B42" s="16"/>
      <c r="C42" s="16"/>
      <c r="D42" s="29"/>
      <c r="E42" s="29"/>
      <c r="F42" s="29"/>
      <c r="G42" s="22"/>
    </row>
    <row r="43" spans="1:7" ht="20.100000000000001" customHeight="1">
      <c r="A43" s="20" t="s">
        <v>274</v>
      </c>
      <c r="B43" s="16"/>
      <c r="C43" s="16"/>
      <c r="D43" s="29"/>
      <c r="E43" s="29"/>
      <c r="F43" s="29"/>
      <c r="G43" s="22"/>
    </row>
    <row r="44" spans="1:7" ht="20.100000000000001" customHeight="1">
      <c r="A44" s="20" t="s">
        <v>275</v>
      </c>
      <c r="B44" s="16"/>
      <c r="C44" s="16"/>
      <c r="D44" s="29"/>
      <c r="E44" s="29"/>
      <c r="F44" s="29"/>
      <c r="G44" s="22"/>
    </row>
    <row r="45" spans="1:7" ht="20.100000000000001" customHeight="1" thickBot="1">
      <c r="A45" s="23" t="s">
        <v>90</v>
      </c>
      <c r="B45" s="36" t="s">
        <v>50</v>
      </c>
      <c r="C45" s="36" t="s">
        <v>91</v>
      </c>
      <c r="D45" s="37">
        <f>SUM(D3:D44)</f>
        <v>3394046.84</v>
      </c>
      <c r="E45" s="37">
        <f>SUM(E3:E44)</f>
        <v>2655852</v>
      </c>
      <c r="F45" s="37">
        <f>+D45-E45</f>
        <v>738194.83999999985</v>
      </c>
      <c r="G45" s="24" t="s">
        <v>50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9"/>
  <sheetViews>
    <sheetView workbookViewId="0">
      <selection activeCell="D28" sqref="D28"/>
    </sheetView>
  </sheetViews>
  <sheetFormatPr defaultRowHeight="15"/>
  <cols>
    <col min="1" max="1" width="16.5703125" customWidth="1"/>
    <col min="2" max="2" width="23" customWidth="1"/>
    <col min="3" max="3" width="49" customWidth="1"/>
    <col min="4" max="4" width="14" customWidth="1"/>
    <col min="5" max="5" width="27" customWidth="1"/>
    <col min="6" max="6" width="12" customWidth="1"/>
  </cols>
  <sheetData>
    <row r="1" spans="1:6" ht="35.1" customHeight="1" thickBot="1">
      <c r="A1" s="112" t="s">
        <v>227</v>
      </c>
      <c r="B1" s="113"/>
      <c r="C1" s="113"/>
      <c r="D1" s="113"/>
      <c r="E1" s="113"/>
      <c r="F1" s="114"/>
    </row>
    <row r="2" spans="1:6" ht="24.95" customHeight="1">
      <c r="A2" s="6" t="s">
        <v>17</v>
      </c>
      <c r="B2" s="7" t="s">
        <v>228</v>
      </c>
      <c r="C2" s="7" t="s">
        <v>229</v>
      </c>
      <c r="D2" s="7" t="s">
        <v>230</v>
      </c>
      <c r="E2" s="7" t="s">
        <v>231</v>
      </c>
      <c r="F2" s="38" t="s">
        <v>26</v>
      </c>
    </row>
    <row r="3" spans="1:6" ht="20.100000000000001" customHeight="1" thickBot="1">
      <c r="A3" s="39" t="s">
        <v>29</v>
      </c>
      <c r="B3" s="1" t="s">
        <v>232</v>
      </c>
      <c r="C3" s="1" t="s">
        <v>233</v>
      </c>
      <c r="D3" s="2">
        <v>6000</v>
      </c>
      <c r="E3" s="1" t="s">
        <v>234</v>
      </c>
      <c r="F3" s="40" t="s">
        <v>28</v>
      </c>
    </row>
    <row r="4" spans="1:6" ht="20.100000000000001" customHeight="1" thickTop="1">
      <c r="A4" s="20" t="s">
        <v>31</v>
      </c>
      <c r="B4" s="3" t="s">
        <v>235</v>
      </c>
      <c r="C4" s="3" t="s">
        <v>236</v>
      </c>
      <c r="D4" s="4">
        <v>300</v>
      </c>
      <c r="E4" s="3" t="s">
        <v>237</v>
      </c>
      <c r="F4" s="21" t="s">
        <v>28</v>
      </c>
    </row>
    <row r="5" spans="1:6" ht="20.100000000000001" customHeight="1">
      <c r="A5" s="20" t="s">
        <v>32</v>
      </c>
      <c r="B5" s="3" t="s">
        <v>235</v>
      </c>
      <c r="C5" s="3" t="s">
        <v>236</v>
      </c>
      <c r="D5" s="4">
        <v>300</v>
      </c>
      <c r="E5" s="3" t="s">
        <v>237</v>
      </c>
      <c r="F5" s="21" t="s">
        <v>28</v>
      </c>
    </row>
    <row r="6" spans="1:6" ht="20.100000000000001" customHeight="1">
      <c r="A6" s="20" t="s">
        <v>40</v>
      </c>
      <c r="B6" s="3" t="s">
        <v>238</v>
      </c>
      <c r="C6" s="3" t="s">
        <v>239</v>
      </c>
      <c r="D6" s="4">
        <v>1060</v>
      </c>
      <c r="E6" s="3" t="s">
        <v>240</v>
      </c>
      <c r="F6" s="21" t="s">
        <v>28</v>
      </c>
    </row>
    <row r="7" spans="1:6" ht="20.100000000000001" customHeight="1">
      <c r="A7" s="20" t="s">
        <v>40</v>
      </c>
      <c r="B7" s="3" t="s">
        <v>238</v>
      </c>
      <c r="C7" s="3" t="s">
        <v>241</v>
      </c>
      <c r="D7" s="4">
        <v>850</v>
      </c>
      <c r="E7" s="3" t="s">
        <v>240</v>
      </c>
      <c r="F7" s="21" t="s">
        <v>28</v>
      </c>
    </row>
    <row r="8" spans="1:6" ht="20.100000000000001" customHeight="1">
      <c r="A8" s="25"/>
      <c r="B8" s="16"/>
      <c r="C8" s="16"/>
      <c r="D8" s="29"/>
      <c r="E8" s="16"/>
      <c r="F8" s="22"/>
    </row>
    <row r="9" spans="1:6" ht="20.100000000000001" customHeight="1">
      <c r="A9" s="25"/>
      <c r="B9" s="16"/>
      <c r="C9" s="16"/>
      <c r="D9" s="29"/>
      <c r="E9" s="16"/>
      <c r="F9" s="22"/>
    </row>
    <row r="10" spans="1:6" ht="20.100000000000001" customHeight="1">
      <c r="A10" s="25"/>
      <c r="B10" s="16"/>
      <c r="C10" s="16"/>
      <c r="D10" s="29"/>
      <c r="E10" s="16"/>
      <c r="F10" s="22"/>
    </row>
    <row r="11" spans="1:6" ht="20.100000000000001" customHeight="1">
      <c r="A11" s="25"/>
      <c r="B11" s="16"/>
      <c r="C11" s="16"/>
      <c r="D11" s="29"/>
      <c r="E11" s="16"/>
      <c r="F11" s="22"/>
    </row>
    <row r="12" spans="1:6" ht="20.100000000000001" customHeight="1">
      <c r="A12" s="25"/>
      <c r="B12" s="16"/>
      <c r="C12" s="16"/>
      <c r="D12" s="29"/>
      <c r="E12" s="16"/>
      <c r="F12" s="22"/>
    </row>
    <row r="13" spans="1:6" ht="20.100000000000001" customHeight="1">
      <c r="A13" s="25"/>
      <c r="B13" s="16"/>
      <c r="C13" s="16"/>
      <c r="D13" s="29"/>
      <c r="E13" s="16"/>
      <c r="F13" s="22"/>
    </row>
    <row r="14" spans="1:6" ht="20.100000000000001" customHeight="1">
      <c r="A14" s="25"/>
      <c r="B14" s="16"/>
      <c r="C14" s="16"/>
      <c r="D14" s="29"/>
      <c r="E14" s="16"/>
      <c r="F14" s="22"/>
    </row>
    <row r="15" spans="1:6" ht="20.100000000000001" customHeight="1">
      <c r="A15" s="25"/>
      <c r="B15" s="16"/>
      <c r="C15" s="16"/>
      <c r="D15" s="29"/>
      <c r="E15" s="16"/>
      <c r="F15" s="22"/>
    </row>
    <row r="16" spans="1:6" ht="20.100000000000001" customHeight="1">
      <c r="A16" s="25"/>
      <c r="B16" s="16"/>
      <c r="C16" s="16"/>
      <c r="D16" s="29"/>
      <c r="E16" s="16"/>
      <c r="F16" s="22"/>
    </row>
    <row r="17" spans="1:6" ht="20.100000000000001" customHeight="1">
      <c r="A17" s="25"/>
      <c r="B17" s="16"/>
      <c r="C17" s="16"/>
      <c r="D17" s="29"/>
      <c r="E17" s="16"/>
      <c r="F17" s="22"/>
    </row>
    <row r="18" spans="1:6" ht="20.100000000000001" customHeight="1">
      <c r="A18" s="25"/>
      <c r="B18" s="16"/>
      <c r="C18" s="16"/>
      <c r="D18" s="29"/>
      <c r="E18" s="16"/>
      <c r="F18" s="22"/>
    </row>
    <row r="19" spans="1:6" ht="20.100000000000001" customHeight="1" thickBot="1">
      <c r="A19" s="23" t="s">
        <v>242</v>
      </c>
      <c r="B19" s="36" t="s">
        <v>50</v>
      </c>
      <c r="C19" s="36" t="s">
        <v>243</v>
      </c>
      <c r="D19" s="37">
        <f>SUM(D3:D18)</f>
        <v>8510</v>
      </c>
      <c r="E19" s="36" t="s">
        <v>50</v>
      </c>
      <c r="F19" s="24" t="s">
        <v>50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7"/>
  <sheetViews>
    <sheetView workbookViewId="0">
      <selection activeCell="C31" sqref="C31"/>
    </sheetView>
  </sheetViews>
  <sheetFormatPr defaultRowHeight="15"/>
  <cols>
    <col min="1" max="1" width="15" customWidth="1"/>
    <col min="2" max="2" width="27" customWidth="1"/>
    <col min="3" max="3" width="41" customWidth="1"/>
    <col min="4" max="4" width="17" customWidth="1"/>
    <col min="5" max="5" width="26" customWidth="1"/>
    <col min="6" max="6" width="12" customWidth="1"/>
  </cols>
  <sheetData>
    <row r="1" spans="1:6" ht="35.1" customHeight="1">
      <c r="A1" s="106" t="s">
        <v>205</v>
      </c>
      <c r="B1" s="107"/>
      <c r="C1" s="107"/>
      <c r="D1" s="107"/>
      <c r="E1" s="107"/>
      <c r="F1" s="108"/>
    </row>
    <row r="2" spans="1:6" ht="24.95" customHeight="1">
      <c r="A2" s="6" t="s">
        <v>17</v>
      </c>
      <c r="B2" s="7" t="s">
        <v>206</v>
      </c>
      <c r="C2" s="7" t="s">
        <v>207</v>
      </c>
      <c r="D2" s="7" t="s">
        <v>208</v>
      </c>
      <c r="E2" s="7" t="s">
        <v>209</v>
      </c>
      <c r="F2" s="38" t="s">
        <v>26</v>
      </c>
    </row>
    <row r="3" spans="1:6" ht="20.100000000000001" customHeight="1">
      <c r="A3" s="20" t="s">
        <v>29</v>
      </c>
      <c r="B3" s="3" t="s">
        <v>210</v>
      </c>
      <c r="C3" s="3" t="s">
        <v>211</v>
      </c>
      <c r="D3" s="4">
        <v>500</v>
      </c>
      <c r="E3" s="3" t="s">
        <v>212</v>
      </c>
      <c r="F3" s="21" t="s">
        <v>28</v>
      </c>
    </row>
    <row r="4" spans="1:6" ht="20.100000000000001" customHeight="1">
      <c r="A4" s="20" t="s">
        <v>30</v>
      </c>
      <c r="B4" s="3" t="s">
        <v>210</v>
      </c>
      <c r="C4" s="3" t="s">
        <v>213</v>
      </c>
      <c r="D4" s="4">
        <v>2370</v>
      </c>
      <c r="E4" s="3" t="s">
        <v>212</v>
      </c>
      <c r="F4" s="21" t="s">
        <v>28</v>
      </c>
    </row>
    <row r="5" spans="1:6" ht="20.100000000000001" customHeight="1">
      <c r="A5" s="20" t="s">
        <v>30</v>
      </c>
      <c r="B5" s="3" t="s">
        <v>214</v>
      </c>
      <c r="C5" s="3" t="s">
        <v>215</v>
      </c>
      <c r="D5" s="4">
        <v>1900</v>
      </c>
      <c r="E5" s="3" t="s">
        <v>212</v>
      </c>
      <c r="F5" s="21" t="s">
        <v>28</v>
      </c>
    </row>
    <row r="6" spans="1:6" ht="20.100000000000001" customHeight="1">
      <c r="A6" s="20" t="s">
        <v>31</v>
      </c>
      <c r="B6" s="3" t="s">
        <v>214</v>
      </c>
      <c r="C6" s="3" t="s">
        <v>215</v>
      </c>
      <c r="D6" s="4">
        <v>2100</v>
      </c>
      <c r="E6" s="3" t="s">
        <v>212</v>
      </c>
      <c r="F6" s="21" t="s">
        <v>28</v>
      </c>
    </row>
    <row r="7" spans="1:6" ht="20.100000000000001" customHeight="1">
      <c r="A7" s="20" t="s">
        <v>31</v>
      </c>
      <c r="B7" s="3" t="s">
        <v>210</v>
      </c>
      <c r="C7" s="3" t="s">
        <v>216</v>
      </c>
      <c r="D7" s="4">
        <v>1050</v>
      </c>
      <c r="E7" s="3" t="s">
        <v>212</v>
      </c>
      <c r="F7" s="21" t="s">
        <v>28</v>
      </c>
    </row>
    <row r="8" spans="1:6" ht="20.100000000000001" customHeight="1">
      <c r="A8" s="20" t="s">
        <v>32</v>
      </c>
      <c r="B8" s="3" t="s">
        <v>210</v>
      </c>
      <c r="C8" s="3" t="s">
        <v>216</v>
      </c>
      <c r="D8" s="4">
        <v>210</v>
      </c>
      <c r="E8" s="3" t="s">
        <v>212</v>
      </c>
      <c r="F8" s="21" t="s">
        <v>28</v>
      </c>
    </row>
    <row r="9" spans="1:6" ht="20.100000000000001" customHeight="1">
      <c r="A9" s="20" t="s">
        <v>33</v>
      </c>
      <c r="B9" s="3" t="s">
        <v>214</v>
      </c>
      <c r="C9" s="3" t="s">
        <v>217</v>
      </c>
      <c r="D9" s="4">
        <v>100</v>
      </c>
      <c r="E9" s="3" t="s">
        <v>212</v>
      </c>
      <c r="F9" s="21" t="s">
        <v>28</v>
      </c>
    </row>
    <row r="10" spans="1:6" ht="20.100000000000001" customHeight="1">
      <c r="A10" s="20" t="s">
        <v>34</v>
      </c>
      <c r="B10" s="3" t="s">
        <v>210</v>
      </c>
      <c r="C10" s="3" t="s">
        <v>218</v>
      </c>
      <c r="D10" s="4">
        <v>5150</v>
      </c>
      <c r="E10" s="3" t="s">
        <v>212</v>
      </c>
      <c r="F10" s="21" t="s">
        <v>28</v>
      </c>
    </row>
    <row r="11" spans="1:6" ht="20.100000000000001" customHeight="1">
      <c r="A11" s="20" t="s">
        <v>37</v>
      </c>
      <c r="B11" s="3" t="s">
        <v>214</v>
      </c>
      <c r="C11" s="3" t="s">
        <v>219</v>
      </c>
      <c r="D11" s="4">
        <v>8900</v>
      </c>
      <c r="E11" s="3" t="s">
        <v>220</v>
      </c>
      <c r="F11" s="21" t="s">
        <v>28</v>
      </c>
    </row>
    <row r="12" spans="1:6" ht="20.100000000000001" customHeight="1">
      <c r="A12" s="20" t="s">
        <v>42</v>
      </c>
      <c r="B12" s="3" t="s">
        <v>210</v>
      </c>
      <c r="C12" s="3" t="s">
        <v>221</v>
      </c>
      <c r="D12" s="4">
        <v>2200</v>
      </c>
      <c r="E12" s="3" t="s">
        <v>212</v>
      </c>
      <c r="F12" s="21" t="s">
        <v>28</v>
      </c>
    </row>
    <row r="13" spans="1:6" ht="20.100000000000001" customHeight="1">
      <c r="A13" s="20" t="s">
        <v>44</v>
      </c>
      <c r="B13" s="3" t="s">
        <v>210</v>
      </c>
      <c r="C13" s="3" t="s">
        <v>222</v>
      </c>
      <c r="D13" s="4">
        <v>500</v>
      </c>
      <c r="E13" s="3" t="s">
        <v>212</v>
      </c>
      <c r="F13" s="21" t="s">
        <v>28</v>
      </c>
    </row>
    <row r="14" spans="1:6" ht="20.100000000000001" customHeight="1">
      <c r="A14" s="20" t="s">
        <v>45</v>
      </c>
      <c r="B14" s="3" t="s">
        <v>210</v>
      </c>
      <c r="C14" s="3" t="s">
        <v>223</v>
      </c>
      <c r="D14" s="4">
        <v>210</v>
      </c>
      <c r="E14" s="3" t="s">
        <v>212</v>
      </c>
      <c r="F14" s="21" t="s">
        <v>28</v>
      </c>
    </row>
    <row r="15" spans="1:6" ht="20.100000000000001" customHeight="1">
      <c r="A15" s="20" t="s">
        <v>47</v>
      </c>
      <c r="B15" s="3" t="s">
        <v>210</v>
      </c>
      <c r="C15" s="3" t="s">
        <v>224</v>
      </c>
      <c r="D15" s="4">
        <v>3000</v>
      </c>
      <c r="E15" s="3" t="s">
        <v>212</v>
      </c>
      <c r="F15" s="21" t="s">
        <v>28</v>
      </c>
    </row>
    <row r="16" spans="1:6" ht="20.100000000000001" customHeight="1">
      <c r="A16" s="25"/>
      <c r="B16" s="16"/>
      <c r="C16" s="16"/>
      <c r="D16" s="29"/>
      <c r="E16" s="16"/>
      <c r="F16" s="22"/>
    </row>
    <row r="17" spans="1:6" ht="20.100000000000001" customHeight="1">
      <c r="A17" s="25"/>
      <c r="B17" s="16"/>
      <c r="C17" s="16"/>
      <c r="D17" s="29"/>
      <c r="E17" s="16"/>
      <c r="F17" s="22"/>
    </row>
    <row r="18" spans="1:6" ht="20.100000000000001" customHeight="1">
      <c r="A18" s="25"/>
      <c r="B18" s="16"/>
      <c r="C18" s="16"/>
      <c r="D18" s="29"/>
      <c r="E18" s="16"/>
      <c r="F18" s="22"/>
    </row>
    <row r="19" spans="1:6" ht="20.100000000000001" customHeight="1">
      <c r="A19" s="25"/>
      <c r="B19" s="16"/>
      <c r="C19" s="16"/>
      <c r="D19" s="29"/>
      <c r="E19" s="16"/>
      <c r="F19" s="22"/>
    </row>
    <row r="20" spans="1:6" ht="20.100000000000001" customHeight="1">
      <c r="A20" s="25"/>
      <c r="B20" s="16"/>
      <c r="C20" s="16"/>
      <c r="D20" s="29"/>
      <c r="E20" s="16"/>
      <c r="F20" s="22"/>
    </row>
    <row r="21" spans="1:6" ht="20.100000000000001" customHeight="1">
      <c r="A21" s="25"/>
      <c r="B21" s="16"/>
      <c r="C21" s="16"/>
      <c r="D21" s="29"/>
      <c r="E21" s="16"/>
      <c r="F21" s="22"/>
    </row>
    <row r="22" spans="1:6" ht="20.100000000000001" customHeight="1">
      <c r="A22" s="25"/>
      <c r="B22" s="16"/>
      <c r="C22" s="16"/>
      <c r="D22" s="29"/>
      <c r="E22" s="16"/>
      <c r="F22" s="22"/>
    </row>
    <row r="23" spans="1:6" ht="20.100000000000001" customHeight="1">
      <c r="A23" s="25"/>
      <c r="B23" s="16"/>
      <c r="C23" s="16"/>
      <c r="D23" s="29"/>
      <c r="E23" s="16"/>
      <c r="F23" s="22"/>
    </row>
    <row r="24" spans="1:6" ht="20.100000000000001" customHeight="1">
      <c r="A24" s="25"/>
      <c r="B24" s="16"/>
      <c r="C24" s="16"/>
      <c r="D24" s="29"/>
      <c r="E24" s="16"/>
      <c r="F24" s="22"/>
    </row>
    <row r="25" spans="1:6" ht="20.100000000000001" customHeight="1">
      <c r="A25" s="25"/>
      <c r="B25" s="16"/>
      <c r="C25" s="16"/>
      <c r="D25" s="29"/>
      <c r="E25" s="16"/>
      <c r="F25" s="22"/>
    </row>
    <row r="26" spans="1:6" ht="20.100000000000001" customHeight="1">
      <c r="A26" s="25"/>
      <c r="B26" s="16"/>
      <c r="C26" s="16"/>
      <c r="D26" s="29"/>
      <c r="E26" s="16"/>
      <c r="F26" s="22"/>
    </row>
    <row r="27" spans="1:6" ht="20.100000000000001" customHeight="1" thickBot="1">
      <c r="A27" s="23" t="s">
        <v>225</v>
      </c>
      <c r="B27" s="36" t="s">
        <v>50</v>
      </c>
      <c r="C27" s="36" t="s">
        <v>226</v>
      </c>
      <c r="D27" s="37">
        <f>SUM(D3:D26)</f>
        <v>28190</v>
      </c>
      <c r="E27" s="36" t="s">
        <v>50</v>
      </c>
      <c r="F27" s="24" t="s">
        <v>50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selection activeCell="C28" sqref="C28"/>
    </sheetView>
  </sheetViews>
  <sheetFormatPr defaultRowHeight="15"/>
  <cols>
    <col min="1" max="1" width="18.28515625" customWidth="1"/>
    <col min="2" max="2" width="23" customWidth="1"/>
    <col min="3" max="3" width="39" customWidth="1"/>
    <col min="4" max="4" width="18" customWidth="1"/>
    <col min="5" max="5" width="21" customWidth="1"/>
    <col min="6" max="6" width="12" customWidth="1"/>
  </cols>
  <sheetData>
    <row r="1" spans="1:6" ht="35.1" customHeight="1">
      <c r="A1" s="106" t="s">
        <v>120</v>
      </c>
      <c r="B1" s="107"/>
      <c r="C1" s="107"/>
      <c r="D1" s="107"/>
      <c r="E1" s="107"/>
      <c r="F1" s="108"/>
    </row>
    <row r="2" spans="1:6" ht="24.95" customHeight="1">
      <c r="A2" s="6" t="s">
        <v>17</v>
      </c>
      <c r="B2" s="7" t="s">
        <v>121</v>
      </c>
      <c r="C2" s="7" t="s">
        <v>122</v>
      </c>
      <c r="D2" s="7" t="s">
        <v>123</v>
      </c>
      <c r="E2" s="7" t="s">
        <v>124</v>
      </c>
      <c r="F2" s="38" t="s">
        <v>26</v>
      </c>
    </row>
    <row r="3" spans="1:6" ht="20.100000000000001" customHeight="1">
      <c r="A3" s="20" t="s">
        <v>77</v>
      </c>
      <c r="B3" s="3" t="s">
        <v>80</v>
      </c>
      <c r="C3" s="3" t="s">
        <v>125</v>
      </c>
      <c r="D3" s="4">
        <v>17700</v>
      </c>
      <c r="E3" s="3" t="s">
        <v>126</v>
      </c>
      <c r="F3" s="21" t="s">
        <v>28</v>
      </c>
    </row>
    <row r="4" spans="1:6" ht="20.100000000000001" customHeight="1">
      <c r="A4" s="20" t="s">
        <v>84</v>
      </c>
      <c r="B4" s="3" t="s">
        <v>80</v>
      </c>
      <c r="C4" s="3" t="s">
        <v>127</v>
      </c>
      <c r="D4" s="4">
        <v>14160</v>
      </c>
      <c r="E4" s="3" t="s">
        <v>126</v>
      </c>
      <c r="F4" s="21" t="s">
        <v>28</v>
      </c>
    </row>
    <row r="5" spans="1:6" ht="20.100000000000001" customHeight="1">
      <c r="A5" s="20" t="s">
        <v>33</v>
      </c>
      <c r="B5" s="3" t="s">
        <v>80</v>
      </c>
      <c r="C5" s="3" t="s">
        <v>128</v>
      </c>
      <c r="D5" s="4">
        <v>3992</v>
      </c>
      <c r="E5" s="3" t="s">
        <v>129</v>
      </c>
      <c r="F5" s="21" t="s">
        <v>28</v>
      </c>
    </row>
    <row r="6" spans="1:6" ht="20.100000000000001" customHeight="1">
      <c r="A6" s="25"/>
      <c r="B6" s="16"/>
      <c r="C6" s="16"/>
      <c r="D6" s="29"/>
      <c r="E6" s="16"/>
      <c r="F6" s="22"/>
    </row>
    <row r="7" spans="1:6" ht="20.100000000000001" customHeight="1">
      <c r="A7" s="25"/>
      <c r="B7" s="16"/>
      <c r="C7" s="16"/>
      <c r="D7" s="29"/>
      <c r="E7" s="16"/>
      <c r="F7" s="22"/>
    </row>
    <row r="8" spans="1:6" ht="20.100000000000001" customHeight="1">
      <c r="A8" s="25"/>
      <c r="B8" s="16"/>
      <c r="C8" s="16"/>
      <c r="D8" s="29"/>
      <c r="E8" s="16"/>
      <c r="F8" s="22"/>
    </row>
    <row r="9" spans="1:6" ht="20.100000000000001" customHeight="1">
      <c r="A9" s="25"/>
      <c r="B9" s="16"/>
      <c r="C9" s="16"/>
      <c r="D9" s="29"/>
      <c r="E9" s="16"/>
      <c r="F9" s="22"/>
    </row>
    <row r="10" spans="1:6" ht="20.100000000000001" customHeight="1">
      <c r="A10" s="25"/>
      <c r="B10" s="16"/>
      <c r="C10" s="16"/>
      <c r="D10" s="29"/>
      <c r="E10" s="16"/>
      <c r="F10" s="22"/>
    </row>
    <row r="11" spans="1:6" ht="20.100000000000001" customHeight="1">
      <c r="A11" s="25"/>
      <c r="B11" s="16"/>
      <c r="C11" s="16"/>
      <c r="D11" s="29"/>
      <c r="E11" s="16"/>
      <c r="F11" s="22"/>
    </row>
    <row r="12" spans="1:6" ht="20.100000000000001" customHeight="1">
      <c r="A12" s="25"/>
      <c r="B12" s="16"/>
      <c r="C12" s="16"/>
      <c r="D12" s="29"/>
      <c r="E12" s="16"/>
      <c r="F12" s="22"/>
    </row>
    <row r="13" spans="1:6" ht="20.100000000000001" customHeight="1">
      <c r="A13" s="25"/>
      <c r="B13" s="16"/>
      <c r="C13" s="16"/>
      <c r="D13" s="29"/>
      <c r="E13" s="16"/>
      <c r="F13" s="22"/>
    </row>
    <row r="14" spans="1:6" ht="20.100000000000001" customHeight="1">
      <c r="A14" s="25"/>
      <c r="B14" s="16"/>
      <c r="C14" s="16"/>
      <c r="D14" s="29"/>
      <c r="E14" s="16"/>
      <c r="F14" s="22"/>
    </row>
    <row r="15" spans="1:6" ht="20.100000000000001" customHeight="1">
      <c r="A15" s="25"/>
      <c r="B15" s="16"/>
      <c r="C15" s="16"/>
      <c r="D15" s="29"/>
      <c r="E15" s="16"/>
      <c r="F15" s="22"/>
    </row>
    <row r="16" spans="1:6" ht="20.100000000000001" customHeight="1">
      <c r="A16" s="25"/>
      <c r="B16" s="16"/>
      <c r="C16" s="16"/>
      <c r="D16" s="29"/>
      <c r="E16" s="16"/>
      <c r="F16" s="22"/>
    </row>
    <row r="17" spans="1:6" ht="20.100000000000001" customHeight="1">
      <c r="A17" s="25"/>
      <c r="B17" s="16"/>
      <c r="C17" s="16"/>
      <c r="D17" s="29"/>
      <c r="E17" s="16"/>
      <c r="F17" s="22"/>
    </row>
    <row r="18" spans="1:6" ht="20.100000000000001" customHeight="1" thickBot="1">
      <c r="A18" s="23" t="s">
        <v>130</v>
      </c>
      <c r="B18" s="36" t="s">
        <v>50</v>
      </c>
      <c r="C18" s="36" t="s">
        <v>131</v>
      </c>
      <c r="D18" s="37">
        <f>SUM(D3:D17)</f>
        <v>35852</v>
      </c>
      <c r="E18" s="36" t="s">
        <v>50</v>
      </c>
      <c r="F18" s="24" t="s">
        <v>50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>
  <dimension ref="A1:G45"/>
  <sheetViews>
    <sheetView workbookViewId="0">
      <selection activeCell="I47" sqref="I47"/>
    </sheetView>
  </sheetViews>
  <sheetFormatPr defaultRowHeight="15"/>
  <cols>
    <col min="1" max="1" width="15.85546875" customWidth="1"/>
    <col min="2" max="2" width="24" customWidth="1"/>
    <col min="3" max="3" width="45" customWidth="1"/>
    <col min="4" max="4" width="16" customWidth="1"/>
    <col min="5" max="5" width="15" customWidth="1"/>
    <col min="6" max="6" width="19" customWidth="1"/>
    <col min="7" max="7" width="12" customWidth="1"/>
  </cols>
  <sheetData>
    <row r="1" spans="1:7" ht="35.1" customHeight="1" thickBot="1">
      <c r="A1" s="112" t="s">
        <v>92</v>
      </c>
      <c r="B1" s="113"/>
      <c r="C1" s="113"/>
      <c r="D1" s="113"/>
      <c r="E1" s="113"/>
      <c r="F1" s="113"/>
      <c r="G1" s="114"/>
    </row>
    <row r="2" spans="1:7" ht="24.95" customHeight="1">
      <c r="A2" s="17" t="s">
        <v>17</v>
      </c>
      <c r="B2" s="18" t="s">
        <v>93</v>
      </c>
      <c r="C2" s="18" t="s">
        <v>94</v>
      </c>
      <c r="D2" s="18" t="s">
        <v>95</v>
      </c>
      <c r="E2" s="18" t="s">
        <v>96</v>
      </c>
      <c r="F2" s="18" t="s">
        <v>97</v>
      </c>
      <c r="G2" s="19" t="s">
        <v>26</v>
      </c>
    </row>
    <row r="3" spans="1:7" ht="20.100000000000001" customHeight="1">
      <c r="A3" s="20" t="s">
        <v>30</v>
      </c>
      <c r="B3" s="3" t="s">
        <v>98</v>
      </c>
      <c r="C3" s="3" t="s">
        <v>99</v>
      </c>
      <c r="D3" s="4">
        <v>0</v>
      </c>
      <c r="E3" s="4">
        <v>350</v>
      </c>
      <c r="F3" s="4">
        <v>-350</v>
      </c>
      <c r="G3" s="21" t="s">
        <v>28</v>
      </c>
    </row>
    <row r="4" spans="1:7" ht="20.100000000000001" customHeight="1">
      <c r="A4" s="20" t="s">
        <v>30</v>
      </c>
      <c r="B4" s="3" t="s">
        <v>98</v>
      </c>
      <c r="C4" s="3" t="s">
        <v>100</v>
      </c>
      <c r="D4" s="4">
        <v>0</v>
      </c>
      <c r="E4" s="4">
        <v>2500</v>
      </c>
      <c r="F4" s="4">
        <v>-2850</v>
      </c>
      <c r="G4" s="21" t="s">
        <v>28</v>
      </c>
    </row>
    <row r="5" spans="1:7" ht="20.100000000000001" customHeight="1">
      <c r="A5" s="20" t="s">
        <v>31</v>
      </c>
      <c r="B5" s="3" t="s">
        <v>98</v>
      </c>
      <c r="C5" s="3" t="s">
        <v>101</v>
      </c>
      <c r="D5" s="4">
        <v>0</v>
      </c>
      <c r="E5" s="4">
        <v>2550</v>
      </c>
      <c r="F5" s="4">
        <v>-5400</v>
      </c>
      <c r="G5" s="21" t="s">
        <v>28</v>
      </c>
    </row>
    <row r="6" spans="1:7" ht="20.100000000000001" customHeight="1">
      <c r="A6" s="20" t="s">
        <v>31</v>
      </c>
      <c r="B6" s="3" t="s">
        <v>98</v>
      </c>
      <c r="C6" s="3" t="s">
        <v>102</v>
      </c>
      <c r="D6" s="4">
        <v>0</v>
      </c>
      <c r="E6" s="4">
        <v>250</v>
      </c>
      <c r="F6" s="4">
        <v>-5650</v>
      </c>
      <c r="G6" s="21" t="s">
        <v>28</v>
      </c>
    </row>
    <row r="7" spans="1:7" ht="20.100000000000001" customHeight="1">
      <c r="A7" s="20" t="s">
        <v>32</v>
      </c>
      <c r="B7" s="3" t="s">
        <v>98</v>
      </c>
      <c r="C7" s="3" t="s">
        <v>103</v>
      </c>
      <c r="D7" s="4">
        <v>0</v>
      </c>
      <c r="E7" s="4">
        <v>1435</v>
      </c>
      <c r="F7" s="4">
        <v>-7085</v>
      </c>
      <c r="G7" s="21" t="s">
        <v>28</v>
      </c>
    </row>
    <row r="8" spans="1:7" ht="20.100000000000001" customHeight="1">
      <c r="A8" s="20" t="s">
        <v>33</v>
      </c>
      <c r="B8" s="3" t="s">
        <v>98</v>
      </c>
      <c r="C8" s="3" t="s">
        <v>104</v>
      </c>
      <c r="D8" s="4">
        <v>0</v>
      </c>
      <c r="E8" s="4">
        <v>50</v>
      </c>
      <c r="F8" s="4">
        <v>-7135</v>
      </c>
      <c r="G8" s="21" t="s">
        <v>28</v>
      </c>
    </row>
    <row r="9" spans="1:7" ht="20.100000000000001" customHeight="1">
      <c r="A9" s="20" t="s">
        <v>35</v>
      </c>
      <c r="B9" s="3" t="s">
        <v>98</v>
      </c>
      <c r="C9" s="3" t="s">
        <v>105</v>
      </c>
      <c r="D9" s="4">
        <v>0</v>
      </c>
      <c r="E9" s="4">
        <v>11031</v>
      </c>
      <c r="F9" s="4">
        <v>-18166</v>
      </c>
      <c r="G9" s="21" t="s">
        <v>28</v>
      </c>
    </row>
    <row r="10" spans="1:7" ht="20.100000000000001" customHeight="1">
      <c r="A10" s="20" t="s">
        <v>36</v>
      </c>
      <c r="B10" s="3" t="s">
        <v>98</v>
      </c>
      <c r="C10" s="3" t="s">
        <v>106</v>
      </c>
      <c r="D10" s="4">
        <v>0</v>
      </c>
      <c r="E10" s="4">
        <v>10000</v>
      </c>
      <c r="F10" s="4">
        <v>-28166</v>
      </c>
      <c r="G10" s="21" t="s">
        <v>28</v>
      </c>
    </row>
    <row r="11" spans="1:7" ht="20.100000000000001" customHeight="1">
      <c r="A11" s="20" t="s">
        <v>40</v>
      </c>
      <c r="B11" s="3" t="s">
        <v>98</v>
      </c>
      <c r="C11" s="3" t="s">
        <v>107</v>
      </c>
      <c r="D11" s="4">
        <v>0</v>
      </c>
      <c r="E11" s="4">
        <v>1022</v>
      </c>
      <c r="F11" s="4">
        <v>-29188</v>
      </c>
      <c r="G11" s="21" t="s">
        <v>28</v>
      </c>
    </row>
    <row r="12" spans="1:7" ht="20.100000000000001" customHeight="1">
      <c r="A12" s="20" t="s">
        <v>40</v>
      </c>
      <c r="B12" s="3" t="s">
        <v>98</v>
      </c>
      <c r="C12" s="3" t="s">
        <v>108</v>
      </c>
      <c r="D12" s="4">
        <v>0</v>
      </c>
      <c r="E12" s="4">
        <v>150</v>
      </c>
      <c r="F12" s="4">
        <v>-29338</v>
      </c>
      <c r="G12" s="21" t="s">
        <v>28</v>
      </c>
    </row>
    <row r="13" spans="1:7" ht="20.100000000000001" customHeight="1">
      <c r="A13" s="20" t="s">
        <v>41</v>
      </c>
      <c r="B13" s="3" t="s">
        <v>98</v>
      </c>
      <c r="C13" s="3" t="s">
        <v>108</v>
      </c>
      <c r="D13" s="4">
        <v>0</v>
      </c>
      <c r="E13" s="4">
        <v>100</v>
      </c>
      <c r="F13" s="4">
        <v>-29438</v>
      </c>
      <c r="G13" s="21" t="s">
        <v>28</v>
      </c>
    </row>
    <row r="14" spans="1:7" ht="20.100000000000001" customHeight="1">
      <c r="A14" s="20" t="s">
        <v>42</v>
      </c>
      <c r="B14" s="3" t="s">
        <v>98</v>
      </c>
      <c r="C14" s="3" t="s">
        <v>109</v>
      </c>
      <c r="D14" s="4">
        <v>0</v>
      </c>
      <c r="E14" s="4">
        <v>750</v>
      </c>
      <c r="F14" s="4">
        <v>-30188</v>
      </c>
      <c r="G14" s="21" t="s">
        <v>28</v>
      </c>
    </row>
    <row r="15" spans="1:7" ht="20.100000000000001" customHeight="1">
      <c r="A15" s="20" t="s">
        <v>43</v>
      </c>
      <c r="B15" s="3" t="s">
        <v>98</v>
      </c>
      <c r="C15" s="3" t="s">
        <v>110</v>
      </c>
      <c r="D15" s="4">
        <v>0</v>
      </c>
      <c r="E15" s="4">
        <v>5228</v>
      </c>
      <c r="F15" s="4">
        <v>-35416</v>
      </c>
      <c r="G15" s="21" t="s">
        <v>28</v>
      </c>
    </row>
    <row r="16" spans="1:7" ht="20.100000000000001" customHeight="1">
      <c r="A16" s="20" t="s">
        <v>43</v>
      </c>
      <c r="B16" s="3" t="s">
        <v>98</v>
      </c>
      <c r="C16" s="3" t="s">
        <v>111</v>
      </c>
      <c r="D16" s="4">
        <v>0</v>
      </c>
      <c r="E16" s="4">
        <v>100</v>
      </c>
      <c r="F16" s="4">
        <v>-35516</v>
      </c>
      <c r="G16" s="21" t="s">
        <v>28</v>
      </c>
    </row>
    <row r="17" spans="1:7" ht="20.100000000000001" customHeight="1">
      <c r="A17" s="20" t="s">
        <v>44</v>
      </c>
      <c r="B17" s="3" t="s">
        <v>98</v>
      </c>
      <c r="C17" s="3" t="s">
        <v>112</v>
      </c>
      <c r="D17" s="4">
        <v>0</v>
      </c>
      <c r="E17" s="4">
        <v>5030</v>
      </c>
      <c r="F17" s="4">
        <v>-40546</v>
      </c>
      <c r="G17" s="21" t="s">
        <v>28</v>
      </c>
    </row>
    <row r="18" spans="1:7" ht="20.100000000000001" customHeight="1">
      <c r="A18" s="20" t="s">
        <v>44</v>
      </c>
      <c r="B18" s="3" t="s">
        <v>98</v>
      </c>
      <c r="C18" s="3" t="s">
        <v>113</v>
      </c>
      <c r="D18" s="4">
        <v>0</v>
      </c>
      <c r="E18" s="4">
        <v>1745</v>
      </c>
      <c r="F18" s="4">
        <v>-42291</v>
      </c>
      <c r="G18" s="21" t="s">
        <v>28</v>
      </c>
    </row>
    <row r="19" spans="1:7" ht="20.100000000000001" customHeight="1">
      <c r="A19" s="20" t="s">
        <v>45</v>
      </c>
      <c r="B19" s="3" t="s">
        <v>98</v>
      </c>
      <c r="C19" s="3" t="s">
        <v>114</v>
      </c>
      <c r="D19" s="4">
        <v>0</v>
      </c>
      <c r="E19" s="4">
        <v>10000</v>
      </c>
      <c r="F19" s="4">
        <v>-52291</v>
      </c>
      <c r="G19" s="21" t="s">
        <v>28</v>
      </c>
    </row>
    <row r="20" spans="1:7" ht="20.100000000000001" customHeight="1">
      <c r="A20" s="20" t="s">
        <v>47</v>
      </c>
      <c r="B20" s="3" t="s">
        <v>98</v>
      </c>
      <c r="C20" s="3" t="s">
        <v>115</v>
      </c>
      <c r="D20" s="4">
        <v>0</v>
      </c>
      <c r="E20" s="4">
        <v>6000</v>
      </c>
      <c r="F20" s="4">
        <v>-58291</v>
      </c>
      <c r="G20" s="21" t="s">
        <v>28</v>
      </c>
    </row>
    <row r="21" spans="1:7" ht="20.100000000000001" customHeight="1">
      <c r="A21" s="20" t="s">
        <v>47</v>
      </c>
      <c r="B21" s="3" t="s">
        <v>98</v>
      </c>
      <c r="C21" s="3" t="s">
        <v>116</v>
      </c>
      <c r="D21" s="4">
        <v>0</v>
      </c>
      <c r="E21" s="4">
        <v>2000</v>
      </c>
      <c r="F21" s="4">
        <v>-60291</v>
      </c>
      <c r="G21" s="21" t="s">
        <v>28</v>
      </c>
    </row>
    <row r="22" spans="1:7" ht="20.100000000000001" customHeight="1">
      <c r="A22" s="20" t="s">
        <v>47</v>
      </c>
      <c r="B22" s="3" t="s">
        <v>98</v>
      </c>
      <c r="C22" s="3" t="s">
        <v>117</v>
      </c>
      <c r="D22" s="4">
        <v>0</v>
      </c>
      <c r="E22" s="4">
        <v>500</v>
      </c>
      <c r="F22" s="4">
        <v>-60791</v>
      </c>
      <c r="G22" s="21" t="s">
        <v>28</v>
      </c>
    </row>
    <row r="23" spans="1:7" ht="20.100000000000001" customHeight="1">
      <c r="A23" s="20" t="s">
        <v>48</v>
      </c>
      <c r="B23" s="3" t="s">
        <v>98</v>
      </c>
      <c r="C23" s="16" t="s">
        <v>305</v>
      </c>
      <c r="D23" s="29">
        <v>0</v>
      </c>
      <c r="E23" s="29">
        <v>9000</v>
      </c>
      <c r="F23" s="29">
        <f>-F22+E23</f>
        <v>69791</v>
      </c>
      <c r="G23" s="21" t="s">
        <v>28</v>
      </c>
    </row>
    <row r="24" spans="1:7" ht="20.100000000000001" customHeight="1">
      <c r="A24" s="25"/>
      <c r="B24" s="16"/>
      <c r="C24" s="16"/>
      <c r="D24" s="29"/>
      <c r="E24" s="29"/>
      <c r="F24" s="29"/>
      <c r="G24" s="22"/>
    </row>
    <row r="25" spans="1:7" ht="20.100000000000001" customHeight="1">
      <c r="A25" s="25"/>
      <c r="B25" s="16"/>
      <c r="C25" s="16"/>
      <c r="D25" s="29"/>
      <c r="E25" s="29"/>
      <c r="F25" s="29"/>
      <c r="G25" s="22"/>
    </row>
    <row r="26" spans="1:7" ht="20.100000000000001" customHeight="1">
      <c r="A26" s="25"/>
      <c r="B26" s="16"/>
      <c r="C26" s="16"/>
      <c r="D26" s="29"/>
      <c r="E26" s="29"/>
      <c r="F26" s="29"/>
      <c r="G26" s="22"/>
    </row>
    <row r="27" spans="1:7" ht="20.100000000000001" customHeight="1">
      <c r="A27" s="25"/>
      <c r="B27" s="16"/>
      <c r="C27" s="16"/>
      <c r="D27" s="29"/>
      <c r="E27" s="29"/>
      <c r="F27" s="29"/>
      <c r="G27" s="22"/>
    </row>
    <row r="28" spans="1:7" ht="20.100000000000001" customHeight="1">
      <c r="A28" s="25"/>
      <c r="B28" s="16"/>
      <c r="C28" s="16"/>
      <c r="D28" s="29"/>
      <c r="E28" s="29"/>
      <c r="F28" s="29"/>
      <c r="G28" s="22"/>
    </row>
    <row r="29" spans="1:7" ht="20.100000000000001" customHeight="1">
      <c r="A29" s="25"/>
      <c r="B29" s="16"/>
      <c r="C29" s="16"/>
      <c r="D29" s="29"/>
      <c r="E29" s="29"/>
      <c r="F29" s="29"/>
      <c r="G29" s="22"/>
    </row>
    <row r="30" spans="1:7" ht="20.100000000000001" customHeight="1">
      <c r="A30" s="25"/>
      <c r="B30" s="16"/>
      <c r="C30" s="16"/>
      <c r="D30" s="29"/>
      <c r="E30" s="29"/>
      <c r="F30" s="29"/>
      <c r="G30" s="22"/>
    </row>
    <row r="31" spans="1:7" ht="20.100000000000001" customHeight="1">
      <c r="A31" s="25"/>
      <c r="B31" s="16"/>
      <c r="C31" s="16"/>
      <c r="D31" s="29"/>
      <c r="E31" s="29"/>
      <c r="F31" s="29"/>
      <c r="G31" s="22"/>
    </row>
    <row r="32" spans="1:7" ht="20.100000000000001" customHeight="1">
      <c r="A32" s="25"/>
      <c r="B32" s="16"/>
      <c r="C32" s="16"/>
      <c r="D32" s="29"/>
      <c r="E32" s="29"/>
      <c r="F32" s="29"/>
      <c r="G32" s="22"/>
    </row>
    <row r="33" spans="1:7" ht="20.100000000000001" customHeight="1">
      <c r="A33" s="25"/>
      <c r="B33" s="16"/>
      <c r="C33" s="16"/>
      <c r="D33" s="29"/>
      <c r="E33" s="29"/>
      <c r="F33" s="29"/>
      <c r="G33" s="22"/>
    </row>
    <row r="34" spans="1:7" ht="20.100000000000001" customHeight="1">
      <c r="A34" s="25"/>
      <c r="B34" s="16"/>
      <c r="C34" s="16"/>
      <c r="D34" s="29"/>
      <c r="E34" s="29"/>
      <c r="F34" s="29"/>
      <c r="G34" s="22"/>
    </row>
    <row r="35" spans="1:7" ht="20.100000000000001" customHeight="1">
      <c r="A35" s="25"/>
      <c r="B35" s="16"/>
      <c r="C35" s="16"/>
      <c r="D35" s="29"/>
      <c r="E35" s="29"/>
      <c r="F35" s="29"/>
      <c r="G35" s="22"/>
    </row>
    <row r="36" spans="1:7" ht="20.100000000000001" customHeight="1">
      <c r="A36" s="25"/>
      <c r="B36" s="16"/>
      <c r="C36" s="16"/>
      <c r="D36" s="29"/>
      <c r="E36" s="29"/>
      <c r="F36" s="29"/>
      <c r="G36" s="22"/>
    </row>
    <row r="37" spans="1:7" ht="20.100000000000001" customHeight="1">
      <c r="A37" s="25"/>
      <c r="B37" s="16"/>
      <c r="C37" s="16"/>
      <c r="D37" s="29"/>
      <c r="E37" s="29"/>
      <c r="F37" s="29"/>
      <c r="G37" s="22"/>
    </row>
    <row r="38" spans="1:7" ht="20.100000000000001" customHeight="1">
      <c r="A38" s="25"/>
      <c r="B38" s="16"/>
      <c r="C38" s="16"/>
      <c r="D38" s="29"/>
      <c r="E38" s="29"/>
      <c r="F38" s="29"/>
      <c r="G38" s="22"/>
    </row>
    <row r="39" spans="1:7" ht="20.100000000000001" customHeight="1">
      <c r="A39" s="25"/>
      <c r="B39" s="16"/>
      <c r="C39" s="16"/>
      <c r="D39" s="29"/>
      <c r="E39" s="29"/>
      <c r="F39" s="29"/>
      <c r="G39" s="22"/>
    </row>
    <row r="40" spans="1:7" ht="20.100000000000001" customHeight="1">
      <c r="A40" s="25"/>
      <c r="B40" s="16"/>
      <c r="C40" s="16"/>
      <c r="D40" s="29"/>
      <c r="E40" s="29"/>
      <c r="F40" s="29"/>
      <c r="G40" s="22"/>
    </row>
    <row r="41" spans="1:7" ht="20.100000000000001" customHeight="1">
      <c r="A41" s="25"/>
      <c r="B41" s="16"/>
      <c r="C41" s="16"/>
      <c r="D41" s="29"/>
      <c r="E41" s="29"/>
      <c r="F41" s="29"/>
      <c r="G41" s="22"/>
    </row>
    <row r="42" spans="1:7" ht="20.100000000000001" customHeight="1">
      <c r="A42" s="25"/>
      <c r="B42" s="16"/>
      <c r="C42" s="16"/>
      <c r="D42" s="29"/>
      <c r="E42" s="29"/>
      <c r="F42" s="29"/>
      <c r="G42" s="22"/>
    </row>
    <row r="43" spans="1:7" ht="20.100000000000001" customHeight="1">
      <c r="A43" s="25"/>
      <c r="B43" s="16"/>
      <c r="C43" s="16"/>
      <c r="D43" s="29"/>
      <c r="E43" s="29"/>
      <c r="F43" s="29"/>
      <c r="G43" s="22"/>
    </row>
    <row r="44" spans="1:7" ht="20.100000000000001" customHeight="1">
      <c r="A44" s="25"/>
      <c r="B44" s="16"/>
      <c r="C44" s="16"/>
      <c r="D44" s="29"/>
      <c r="E44" s="29"/>
      <c r="F44" s="29"/>
      <c r="G44" s="22"/>
    </row>
    <row r="45" spans="1:7" ht="20.100000000000001" customHeight="1" thickBot="1">
      <c r="A45" s="23" t="s">
        <v>118</v>
      </c>
      <c r="B45" s="36" t="s">
        <v>50</v>
      </c>
      <c r="C45" s="36" t="s">
        <v>119</v>
      </c>
      <c r="D45" s="37">
        <f>SUM(D3:D44)</f>
        <v>0</v>
      </c>
      <c r="E45" s="37">
        <f>SUM(E3:E44)</f>
        <v>69791</v>
      </c>
      <c r="F45" s="37">
        <f>+D45-E45</f>
        <v>-69791</v>
      </c>
      <c r="G45" s="24" t="s">
        <v>50</v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9"/>
  <sheetViews>
    <sheetView workbookViewId="0">
      <selection activeCell="I30" sqref="I30"/>
    </sheetView>
  </sheetViews>
  <sheetFormatPr defaultRowHeight="16.5"/>
  <cols>
    <col min="1" max="1" width="17" style="41" customWidth="1"/>
    <col min="2" max="2" width="35.28515625" style="41" customWidth="1"/>
    <col min="3" max="3" width="16.28515625" style="41" customWidth="1"/>
    <col min="4" max="7" width="14" style="41" customWidth="1"/>
    <col min="8" max="16384" width="9.140625" style="41"/>
  </cols>
  <sheetData>
    <row r="1" spans="1:10" ht="20.25">
      <c r="A1" s="115" t="s">
        <v>257</v>
      </c>
      <c r="B1" s="116"/>
      <c r="C1" s="116"/>
      <c r="D1" s="116"/>
      <c r="E1" s="116"/>
      <c r="F1" s="116"/>
      <c r="G1" s="117"/>
    </row>
    <row r="2" spans="1:10">
      <c r="A2" s="71" t="s">
        <v>17</v>
      </c>
      <c r="B2" s="72" t="s">
        <v>296</v>
      </c>
      <c r="C2" s="72" t="s">
        <v>297</v>
      </c>
      <c r="D2" s="72" t="s">
        <v>298</v>
      </c>
      <c r="E2" s="72" t="s">
        <v>299</v>
      </c>
      <c r="F2" s="72" t="s">
        <v>300</v>
      </c>
      <c r="G2" s="73" t="s">
        <v>26</v>
      </c>
    </row>
    <row r="3" spans="1:10">
      <c r="A3" s="74" t="s">
        <v>138</v>
      </c>
      <c r="B3" s="75" t="s">
        <v>301</v>
      </c>
      <c r="C3" s="76">
        <v>1502081582</v>
      </c>
      <c r="D3" s="76">
        <v>918254</v>
      </c>
      <c r="E3" s="76"/>
      <c r="F3" s="76">
        <f>+D3-E3</f>
        <v>918254</v>
      </c>
      <c r="G3" s="77" t="s">
        <v>302</v>
      </c>
    </row>
    <row r="4" spans="1:10">
      <c r="A4" s="74" t="s">
        <v>77</v>
      </c>
      <c r="B4" s="75" t="s">
        <v>301</v>
      </c>
      <c r="C4" s="76">
        <v>1502438308</v>
      </c>
      <c r="D4" s="76">
        <v>900000</v>
      </c>
      <c r="E4" s="76"/>
      <c r="F4" s="76">
        <v>924610</v>
      </c>
      <c r="G4" s="77" t="s">
        <v>302</v>
      </c>
    </row>
    <row r="5" spans="1:10">
      <c r="A5" s="74" t="s">
        <v>77</v>
      </c>
      <c r="B5" s="75" t="s">
        <v>303</v>
      </c>
      <c r="C5" s="76">
        <v>1102868078</v>
      </c>
      <c r="D5" s="76"/>
      <c r="E5" s="78">
        <v>1414400</v>
      </c>
      <c r="F5" s="76">
        <v>410210</v>
      </c>
      <c r="G5" s="77" t="s">
        <v>28</v>
      </c>
    </row>
    <row r="6" spans="1:10">
      <c r="A6" s="79">
        <v>46273</v>
      </c>
      <c r="B6" s="76" t="s">
        <v>301</v>
      </c>
      <c r="C6" s="76">
        <v>1502671120</v>
      </c>
      <c r="D6" s="76">
        <v>820000</v>
      </c>
      <c r="E6" s="78"/>
      <c r="F6" s="76">
        <f>+F5+D6</f>
        <v>1230210</v>
      </c>
      <c r="G6" s="80" t="s">
        <v>28</v>
      </c>
    </row>
    <row r="7" spans="1:10">
      <c r="A7" s="79">
        <v>46273</v>
      </c>
      <c r="B7" s="76" t="s">
        <v>303</v>
      </c>
      <c r="C7" s="76">
        <v>1103178524</v>
      </c>
      <c r="D7" s="76"/>
      <c r="E7" s="78">
        <v>1223852.77</v>
      </c>
      <c r="F7" s="78">
        <f>+F6-E7+18650</f>
        <v>25007.229999999981</v>
      </c>
      <c r="G7" s="80" t="s">
        <v>28</v>
      </c>
    </row>
    <row r="8" spans="1:10">
      <c r="A8" s="81"/>
      <c r="B8" s="76"/>
      <c r="C8" s="76"/>
      <c r="D8" s="76"/>
      <c r="E8" s="78"/>
      <c r="F8" s="76"/>
      <c r="G8" s="80"/>
      <c r="J8" s="82"/>
    </row>
    <row r="9" spans="1:10">
      <c r="A9" s="81"/>
      <c r="B9" s="76"/>
      <c r="C9" s="76"/>
      <c r="D9" s="76"/>
      <c r="E9" s="78"/>
      <c r="F9" s="76"/>
      <c r="G9" s="80"/>
    </row>
    <row r="10" spans="1:10">
      <c r="A10" s="81"/>
      <c r="B10" s="76"/>
      <c r="C10" s="76"/>
      <c r="D10" s="76"/>
      <c r="E10" s="78"/>
      <c r="F10" s="76"/>
      <c r="G10" s="80"/>
    </row>
    <row r="11" spans="1:10">
      <c r="A11" s="81"/>
      <c r="B11" s="76"/>
      <c r="C11" s="76"/>
      <c r="D11" s="76"/>
      <c r="E11" s="78"/>
      <c r="F11" s="76"/>
      <c r="G11" s="80"/>
    </row>
    <row r="12" spans="1:10">
      <c r="A12" s="81"/>
      <c r="B12" s="76"/>
      <c r="C12" s="76"/>
      <c r="D12" s="76"/>
      <c r="E12" s="78"/>
      <c r="F12" s="76"/>
      <c r="G12" s="80"/>
    </row>
    <row r="13" spans="1:10">
      <c r="A13" s="81"/>
      <c r="B13" s="76"/>
      <c r="C13" s="76"/>
      <c r="D13" s="76"/>
      <c r="E13" s="78"/>
      <c r="F13" s="76"/>
      <c r="G13" s="80"/>
    </row>
    <row r="14" spans="1:10">
      <c r="A14" s="81"/>
      <c r="B14" s="76"/>
      <c r="C14" s="76"/>
      <c r="D14" s="76"/>
      <c r="E14" s="78"/>
      <c r="F14" s="76"/>
      <c r="G14" s="80"/>
    </row>
    <row r="15" spans="1:10">
      <c r="A15" s="81"/>
      <c r="B15" s="76"/>
      <c r="C15" s="76"/>
      <c r="D15" s="76"/>
      <c r="E15" s="78"/>
      <c r="F15" s="76"/>
      <c r="G15" s="80"/>
    </row>
    <row r="16" spans="1:10">
      <c r="A16" s="74"/>
      <c r="B16" s="75"/>
      <c r="C16" s="75"/>
      <c r="D16" s="76"/>
      <c r="E16" s="78"/>
      <c r="F16" s="76"/>
      <c r="G16" s="77"/>
    </row>
    <row r="17" spans="1:10" ht="17.25" thickBot="1">
      <c r="A17" s="83"/>
      <c r="B17" s="84"/>
      <c r="C17" s="84"/>
      <c r="D17" s="85">
        <f>SUM(D3:D16)</f>
        <v>2638254</v>
      </c>
      <c r="E17" s="86">
        <f>SUM(E3:E16)</f>
        <v>2638252.77</v>
      </c>
      <c r="F17" s="86">
        <f>+F7</f>
        <v>25007.229999999981</v>
      </c>
      <c r="G17" s="87" t="s">
        <v>28</v>
      </c>
    </row>
    <row r="19" spans="1:10">
      <c r="J19" s="82"/>
    </row>
  </sheetData>
  <mergeCells count="1">
    <mergeCell ref="A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61"/>
  <sheetViews>
    <sheetView workbookViewId="0">
      <selection activeCell="I57" sqref="I57"/>
    </sheetView>
  </sheetViews>
  <sheetFormatPr defaultRowHeight="15"/>
  <cols>
    <col min="1" max="1" width="21.140625" customWidth="1"/>
    <col min="2" max="2" width="24" customWidth="1"/>
    <col min="3" max="3" width="41" customWidth="1"/>
    <col min="4" max="4" width="17" customWidth="1"/>
    <col min="5" max="5" width="16" customWidth="1"/>
    <col min="6" max="6" width="21" customWidth="1"/>
    <col min="7" max="7" width="12" customWidth="1"/>
  </cols>
  <sheetData>
    <row r="1" spans="1:7" ht="35.1" customHeight="1">
      <c r="A1" s="106" t="s">
        <v>132</v>
      </c>
      <c r="B1" s="107"/>
      <c r="C1" s="107"/>
      <c r="D1" s="107"/>
      <c r="E1" s="107"/>
      <c r="F1" s="107"/>
      <c r="G1" s="108"/>
    </row>
    <row r="2" spans="1:7" ht="24.95" customHeight="1">
      <c r="A2" s="6" t="s">
        <v>17</v>
      </c>
      <c r="B2" s="7" t="s">
        <v>133</v>
      </c>
      <c r="C2" s="7" t="s">
        <v>134</v>
      </c>
      <c r="D2" s="7" t="s">
        <v>135</v>
      </c>
      <c r="E2" s="7" t="s">
        <v>136</v>
      </c>
      <c r="F2" s="7" t="s">
        <v>137</v>
      </c>
      <c r="G2" s="38" t="s">
        <v>26</v>
      </c>
    </row>
    <row r="3" spans="1:7" ht="20.100000000000001" customHeight="1" thickBot="1">
      <c r="A3" s="39" t="s">
        <v>138</v>
      </c>
      <c r="B3" s="1" t="s">
        <v>139</v>
      </c>
      <c r="C3" s="1" t="s">
        <v>140</v>
      </c>
      <c r="D3" s="2">
        <v>375000</v>
      </c>
      <c r="E3" s="2">
        <v>0</v>
      </c>
      <c r="F3" s="2">
        <v>375000</v>
      </c>
      <c r="G3" s="40" t="s">
        <v>28</v>
      </c>
    </row>
    <row r="4" spans="1:7" ht="20.100000000000001" customHeight="1" thickTop="1" thickBot="1">
      <c r="A4" s="39" t="s">
        <v>138</v>
      </c>
      <c r="B4" s="1" t="s">
        <v>141</v>
      </c>
      <c r="C4" s="1" t="s">
        <v>140</v>
      </c>
      <c r="D4" s="2">
        <v>265000</v>
      </c>
      <c r="E4" s="2">
        <v>0</v>
      </c>
      <c r="F4" s="2">
        <v>265000</v>
      </c>
      <c r="G4" s="40" t="s">
        <v>28</v>
      </c>
    </row>
    <row r="5" spans="1:7" ht="20.100000000000001" customHeight="1" thickTop="1">
      <c r="A5" s="20" t="s">
        <v>138</v>
      </c>
      <c r="B5" s="3" t="s">
        <v>142</v>
      </c>
      <c r="C5" s="3" t="s">
        <v>143</v>
      </c>
      <c r="D5" s="4">
        <v>45369</v>
      </c>
      <c r="E5" s="4">
        <v>0</v>
      </c>
      <c r="F5" s="4">
        <v>45369</v>
      </c>
      <c r="G5" s="21" t="s">
        <v>28</v>
      </c>
    </row>
    <row r="6" spans="1:7" ht="20.100000000000001" customHeight="1">
      <c r="A6" s="20" t="s">
        <v>138</v>
      </c>
      <c r="B6" s="3" t="s">
        <v>144</v>
      </c>
      <c r="C6" s="3" t="s">
        <v>145</v>
      </c>
      <c r="D6" s="4">
        <v>409318</v>
      </c>
      <c r="E6" s="4">
        <v>0</v>
      </c>
      <c r="F6" s="4">
        <v>409318</v>
      </c>
      <c r="G6" s="21" t="s">
        <v>28</v>
      </c>
    </row>
    <row r="7" spans="1:7" ht="20.100000000000001" customHeight="1">
      <c r="A7" s="20" t="s">
        <v>138</v>
      </c>
      <c r="B7" s="3" t="s">
        <v>146</v>
      </c>
      <c r="C7" s="3" t="s">
        <v>147</v>
      </c>
      <c r="D7" s="4">
        <v>600000</v>
      </c>
      <c r="E7" s="4">
        <v>0</v>
      </c>
      <c r="F7" s="4">
        <v>600000</v>
      </c>
      <c r="G7" s="21" t="s">
        <v>28</v>
      </c>
    </row>
    <row r="8" spans="1:7" ht="20.100000000000001" customHeight="1">
      <c r="A8" s="20" t="s">
        <v>138</v>
      </c>
      <c r="B8" s="3" t="s">
        <v>148</v>
      </c>
      <c r="C8" s="3" t="s">
        <v>149</v>
      </c>
      <c r="D8" s="4">
        <v>1950000</v>
      </c>
      <c r="E8" s="4">
        <v>0</v>
      </c>
      <c r="F8" s="4">
        <v>1950000</v>
      </c>
      <c r="G8" s="21" t="s">
        <v>28</v>
      </c>
    </row>
    <row r="9" spans="1:7" ht="20.100000000000001" customHeight="1">
      <c r="A9" s="20" t="s">
        <v>138</v>
      </c>
      <c r="B9" s="3" t="s">
        <v>150</v>
      </c>
      <c r="C9" s="3" t="s">
        <v>151</v>
      </c>
      <c r="D9" s="4">
        <v>92000</v>
      </c>
      <c r="E9" s="4">
        <v>0</v>
      </c>
      <c r="F9" s="4">
        <v>92000</v>
      </c>
      <c r="G9" s="21" t="s">
        <v>28</v>
      </c>
    </row>
    <row r="10" spans="1:7" ht="20.100000000000001" customHeight="1">
      <c r="A10" s="20" t="s">
        <v>138</v>
      </c>
      <c r="B10" s="3" t="s">
        <v>152</v>
      </c>
      <c r="C10" s="3" t="s">
        <v>153</v>
      </c>
      <c r="D10" s="4">
        <v>304000</v>
      </c>
      <c r="E10" s="4">
        <v>0</v>
      </c>
      <c r="F10" s="4">
        <v>304000</v>
      </c>
      <c r="G10" s="21" t="s">
        <v>28</v>
      </c>
    </row>
    <row r="11" spans="1:7" ht="20.100000000000001" customHeight="1" thickBot="1">
      <c r="A11" s="39" t="s">
        <v>138</v>
      </c>
      <c r="B11" s="1" t="s">
        <v>154</v>
      </c>
      <c r="C11" s="1" t="s">
        <v>155</v>
      </c>
      <c r="D11" s="2">
        <v>253860</v>
      </c>
      <c r="E11" s="2">
        <v>0</v>
      </c>
      <c r="F11" s="2">
        <v>253860</v>
      </c>
      <c r="G11" s="40" t="s">
        <v>28</v>
      </c>
    </row>
    <row r="12" spans="1:7" ht="20.100000000000001" customHeight="1" thickTop="1" thickBot="1">
      <c r="A12" s="39" t="s">
        <v>138</v>
      </c>
      <c r="B12" s="1" t="s">
        <v>156</v>
      </c>
      <c r="C12" s="1" t="s">
        <v>157</v>
      </c>
      <c r="D12" s="2">
        <v>50000</v>
      </c>
      <c r="E12" s="2">
        <v>0</v>
      </c>
      <c r="F12" s="2">
        <v>50000</v>
      </c>
      <c r="G12" s="40" t="s">
        <v>28</v>
      </c>
    </row>
    <row r="13" spans="1:7" ht="20.100000000000001" customHeight="1" thickTop="1">
      <c r="A13" s="20" t="s">
        <v>138</v>
      </c>
      <c r="B13" s="3" t="s">
        <v>158</v>
      </c>
      <c r="C13" s="3" t="s">
        <v>159</v>
      </c>
      <c r="D13" s="4">
        <v>99000</v>
      </c>
      <c r="E13" s="4">
        <v>0</v>
      </c>
      <c r="F13" s="4">
        <v>99000</v>
      </c>
      <c r="G13" s="21" t="s">
        <v>28</v>
      </c>
    </row>
    <row r="14" spans="1:7" ht="20.100000000000001" customHeight="1">
      <c r="A14" s="20" t="s">
        <v>138</v>
      </c>
      <c r="B14" s="3" t="s">
        <v>160</v>
      </c>
      <c r="C14" s="3" t="s">
        <v>161</v>
      </c>
      <c r="D14" s="4">
        <v>9089</v>
      </c>
      <c r="E14" s="4">
        <v>0</v>
      </c>
      <c r="F14" s="4">
        <v>9089</v>
      </c>
      <c r="G14" s="21" t="s">
        <v>28</v>
      </c>
    </row>
    <row r="15" spans="1:7" ht="20.100000000000001" customHeight="1">
      <c r="A15" s="20" t="s">
        <v>138</v>
      </c>
      <c r="B15" s="3" t="s">
        <v>162</v>
      </c>
      <c r="C15" s="3" t="s">
        <v>163</v>
      </c>
      <c r="D15" s="4">
        <v>25076</v>
      </c>
      <c r="E15" s="4">
        <v>0</v>
      </c>
      <c r="F15" s="4">
        <v>25076</v>
      </c>
      <c r="G15" s="21" t="s">
        <v>28</v>
      </c>
    </row>
    <row r="16" spans="1:7" ht="20.100000000000001" customHeight="1">
      <c r="A16" s="20" t="s">
        <v>138</v>
      </c>
      <c r="B16" s="3" t="s">
        <v>164</v>
      </c>
      <c r="C16" s="3" t="s">
        <v>165</v>
      </c>
      <c r="D16" s="4">
        <v>225564</v>
      </c>
      <c r="E16" s="4">
        <v>0</v>
      </c>
      <c r="F16" s="4">
        <v>225564</v>
      </c>
      <c r="G16" s="21" t="s">
        <v>28</v>
      </c>
    </row>
    <row r="17" spans="1:7" ht="20.100000000000001" customHeight="1">
      <c r="A17" s="20" t="s">
        <v>138</v>
      </c>
      <c r="B17" s="3" t="s">
        <v>166</v>
      </c>
      <c r="C17" s="3" t="s">
        <v>167</v>
      </c>
      <c r="D17" s="4">
        <v>337962</v>
      </c>
      <c r="E17" s="4">
        <v>0</v>
      </c>
      <c r="F17" s="4">
        <v>337962</v>
      </c>
      <c r="G17" s="21" t="s">
        <v>28</v>
      </c>
    </row>
    <row r="18" spans="1:7" ht="20.100000000000001" customHeight="1">
      <c r="A18" s="20" t="s">
        <v>138</v>
      </c>
      <c r="B18" s="3" t="s">
        <v>168</v>
      </c>
      <c r="C18" s="3" t="s">
        <v>169</v>
      </c>
      <c r="D18" s="4">
        <v>46364</v>
      </c>
      <c r="E18" s="4">
        <v>0</v>
      </c>
      <c r="F18" s="4">
        <v>46364</v>
      </c>
      <c r="G18" s="21" t="s">
        <v>28</v>
      </c>
    </row>
    <row r="19" spans="1:7" ht="20.100000000000001" customHeight="1">
      <c r="A19" s="20" t="s">
        <v>138</v>
      </c>
      <c r="B19" s="3" t="s">
        <v>170</v>
      </c>
      <c r="C19" s="3" t="s">
        <v>171</v>
      </c>
      <c r="D19" s="4">
        <v>20000</v>
      </c>
      <c r="E19" s="4">
        <v>0</v>
      </c>
      <c r="F19" s="4">
        <v>20000</v>
      </c>
      <c r="G19" s="21" t="s">
        <v>28</v>
      </c>
    </row>
    <row r="20" spans="1:7" ht="20.100000000000001" customHeight="1">
      <c r="A20" s="20" t="s">
        <v>138</v>
      </c>
      <c r="B20" s="3" t="s">
        <v>172</v>
      </c>
      <c r="C20" s="3" t="s">
        <v>173</v>
      </c>
      <c r="D20" s="4">
        <v>7500</v>
      </c>
      <c r="E20" s="4">
        <v>0</v>
      </c>
      <c r="F20" s="4">
        <v>7500</v>
      </c>
      <c r="G20" s="21" t="s">
        <v>28</v>
      </c>
    </row>
    <row r="21" spans="1:7" ht="20.100000000000001" customHeight="1">
      <c r="A21" s="20" t="s">
        <v>138</v>
      </c>
      <c r="B21" s="3" t="s">
        <v>174</v>
      </c>
      <c r="C21" s="3" t="s">
        <v>175</v>
      </c>
      <c r="D21" s="4">
        <v>4170</v>
      </c>
      <c r="E21" s="4">
        <v>0</v>
      </c>
      <c r="F21" s="4">
        <v>4170</v>
      </c>
      <c r="G21" s="21" t="s">
        <v>28</v>
      </c>
    </row>
    <row r="22" spans="1:7" ht="20.100000000000001" customHeight="1">
      <c r="A22" s="20" t="s">
        <v>29</v>
      </c>
      <c r="B22" s="3" t="s">
        <v>160</v>
      </c>
      <c r="C22" s="3" t="s">
        <v>176</v>
      </c>
      <c r="D22" s="4">
        <v>0</v>
      </c>
      <c r="E22" s="4">
        <v>890</v>
      </c>
      <c r="F22" s="4">
        <v>8199</v>
      </c>
      <c r="G22" s="21" t="s">
        <v>28</v>
      </c>
    </row>
    <row r="23" spans="1:7" ht="20.100000000000001" customHeight="1">
      <c r="A23" s="20" t="s">
        <v>29</v>
      </c>
      <c r="B23" s="3" t="s">
        <v>168</v>
      </c>
      <c r="C23" s="3" t="s">
        <v>177</v>
      </c>
      <c r="D23" s="4">
        <v>0</v>
      </c>
      <c r="E23" s="4">
        <v>60807</v>
      </c>
      <c r="F23" s="4">
        <v>-14443</v>
      </c>
      <c r="G23" s="21" t="s">
        <v>28</v>
      </c>
    </row>
    <row r="24" spans="1:7" ht="20.100000000000001" customHeight="1">
      <c r="A24" s="20" t="s">
        <v>29</v>
      </c>
      <c r="B24" s="3" t="s">
        <v>162</v>
      </c>
      <c r="C24" s="3" t="s">
        <v>178</v>
      </c>
      <c r="D24" s="4">
        <v>0</v>
      </c>
      <c r="E24" s="4">
        <v>25000</v>
      </c>
      <c r="F24" s="4">
        <v>76</v>
      </c>
      <c r="G24" s="21" t="s">
        <v>28</v>
      </c>
    </row>
    <row r="25" spans="1:7" ht="20.100000000000001" customHeight="1">
      <c r="A25" s="20" t="s">
        <v>30</v>
      </c>
      <c r="B25" s="3" t="s">
        <v>170</v>
      </c>
      <c r="C25" s="3" t="s">
        <v>179</v>
      </c>
      <c r="D25" s="4">
        <v>0</v>
      </c>
      <c r="E25" s="4">
        <v>15000</v>
      </c>
      <c r="F25" s="4">
        <v>5000</v>
      </c>
      <c r="G25" s="21" t="s">
        <v>28</v>
      </c>
    </row>
    <row r="26" spans="1:7" ht="20.100000000000001" customHeight="1">
      <c r="A26" s="20" t="s">
        <v>31</v>
      </c>
      <c r="B26" s="3" t="s">
        <v>142</v>
      </c>
      <c r="C26" s="3" t="s">
        <v>180</v>
      </c>
      <c r="D26" s="4">
        <v>0</v>
      </c>
      <c r="E26" s="4">
        <v>5000</v>
      </c>
      <c r="F26" s="4">
        <v>40369</v>
      </c>
      <c r="G26" s="21" t="s">
        <v>28</v>
      </c>
    </row>
    <row r="27" spans="1:7" ht="20.100000000000001" customHeight="1">
      <c r="A27" s="20" t="s">
        <v>31</v>
      </c>
      <c r="B27" s="3" t="s">
        <v>174</v>
      </c>
      <c r="C27" s="3" t="s">
        <v>181</v>
      </c>
      <c r="D27" s="4">
        <v>0</v>
      </c>
      <c r="E27" s="4">
        <v>2000</v>
      </c>
      <c r="F27" s="4">
        <v>2170</v>
      </c>
      <c r="G27" s="21" t="s">
        <v>28</v>
      </c>
    </row>
    <row r="28" spans="1:7" ht="20.100000000000001" customHeight="1">
      <c r="A28" s="20" t="s">
        <v>33</v>
      </c>
      <c r="B28" s="3" t="s">
        <v>160</v>
      </c>
      <c r="C28" s="3" t="s">
        <v>182</v>
      </c>
      <c r="D28" s="4">
        <v>0</v>
      </c>
      <c r="E28" s="4">
        <v>1160</v>
      </c>
      <c r="F28" s="4">
        <v>7039</v>
      </c>
      <c r="G28" s="21" t="s">
        <v>28</v>
      </c>
    </row>
    <row r="29" spans="1:7" ht="20.100000000000001" customHeight="1">
      <c r="A29" s="20" t="s">
        <v>33</v>
      </c>
      <c r="B29" s="3" t="s">
        <v>166</v>
      </c>
      <c r="C29" s="3" t="s">
        <v>183</v>
      </c>
      <c r="D29" s="4">
        <v>0</v>
      </c>
      <c r="E29" s="4">
        <v>81736</v>
      </c>
      <c r="F29" s="4">
        <v>256226</v>
      </c>
      <c r="G29" s="21" t="s">
        <v>28</v>
      </c>
    </row>
    <row r="30" spans="1:7" ht="20.100000000000001" customHeight="1">
      <c r="A30" s="20" t="s">
        <v>33</v>
      </c>
      <c r="B30" s="3" t="s">
        <v>142</v>
      </c>
      <c r="C30" s="3" t="s">
        <v>184</v>
      </c>
      <c r="D30" s="4">
        <v>0</v>
      </c>
      <c r="E30" s="4">
        <v>2000</v>
      </c>
      <c r="F30" s="4">
        <v>38369</v>
      </c>
      <c r="G30" s="21" t="s">
        <v>28</v>
      </c>
    </row>
    <row r="31" spans="1:7" ht="20.100000000000001" customHeight="1">
      <c r="A31" s="20" t="s">
        <v>33</v>
      </c>
      <c r="B31" s="3" t="s">
        <v>144</v>
      </c>
      <c r="C31" s="3" t="s">
        <v>185</v>
      </c>
      <c r="D31" s="4">
        <v>0</v>
      </c>
      <c r="E31" s="4">
        <v>50500</v>
      </c>
      <c r="F31" s="4">
        <v>358818</v>
      </c>
      <c r="G31" s="21" t="s">
        <v>28</v>
      </c>
    </row>
    <row r="32" spans="1:7" ht="20.100000000000001" customHeight="1">
      <c r="A32" s="20" t="s">
        <v>33</v>
      </c>
      <c r="B32" s="3" t="s">
        <v>164</v>
      </c>
      <c r="C32" s="3" t="s">
        <v>186</v>
      </c>
      <c r="D32" s="4">
        <v>0</v>
      </c>
      <c r="E32" s="4">
        <v>35000</v>
      </c>
      <c r="F32" s="4">
        <v>190564</v>
      </c>
      <c r="G32" s="21" t="s">
        <v>28</v>
      </c>
    </row>
    <row r="33" spans="1:7" ht="20.100000000000001" customHeight="1">
      <c r="A33" s="20" t="s">
        <v>35</v>
      </c>
      <c r="B33" s="3" t="s">
        <v>160</v>
      </c>
      <c r="C33" s="3" t="s">
        <v>187</v>
      </c>
      <c r="D33" s="4">
        <v>15000</v>
      </c>
      <c r="E33" s="4">
        <v>3200</v>
      </c>
      <c r="F33" s="4">
        <v>18839</v>
      </c>
      <c r="G33" s="21" t="s">
        <v>28</v>
      </c>
    </row>
    <row r="34" spans="1:7" ht="20.100000000000001" customHeight="1">
      <c r="A34" s="20" t="s">
        <v>35</v>
      </c>
      <c r="B34" s="3" t="s">
        <v>164</v>
      </c>
      <c r="C34" s="3" t="s">
        <v>188</v>
      </c>
      <c r="D34" s="4">
        <v>0</v>
      </c>
      <c r="E34" s="4">
        <v>15000</v>
      </c>
      <c r="F34" s="4">
        <v>175564</v>
      </c>
      <c r="G34" s="21" t="s">
        <v>28</v>
      </c>
    </row>
    <row r="35" spans="1:7" ht="20.100000000000001" customHeight="1">
      <c r="A35" s="20" t="s">
        <v>36</v>
      </c>
      <c r="B35" s="3" t="s">
        <v>142</v>
      </c>
      <c r="C35" s="3" t="s">
        <v>189</v>
      </c>
      <c r="D35" s="4">
        <v>0</v>
      </c>
      <c r="E35" s="4">
        <v>7000</v>
      </c>
      <c r="F35" s="4">
        <v>31369</v>
      </c>
      <c r="G35" s="21" t="s">
        <v>28</v>
      </c>
    </row>
    <row r="36" spans="1:7" ht="20.100000000000001" customHeight="1">
      <c r="A36" s="20" t="s">
        <v>41</v>
      </c>
      <c r="B36" s="3" t="s">
        <v>160</v>
      </c>
      <c r="C36" s="3" t="s">
        <v>190</v>
      </c>
      <c r="D36" s="4">
        <v>0</v>
      </c>
      <c r="E36" s="4">
        <v>610</v>
      </c>
      <c r="F36" s="4">
        <v>18229</v>
      </c>
      <c r="G36" s="21" t="s">
        <v>28</v>
      </c>
    </row>
    <row r="37" spans="1:7" ht="20.100000000000001" customHeight="1">
      <c r="A37" s="20" t="s">
        <v>42</v>
      </c>
      <c r="B37" s="3" t="s">
        <v>160</v>
      </c>
      <c r="C37" s="3" t="s">
        <v>190</v>
      </c>
      <c r="D37" s="4">
        <v>0</v>
      </c>
      <c r="E37" s="4">
        <v>500</v>
      </c>
      <c r="F37" s="4">
        <v>17729</v>
      </c>
      <c r="G37" s="21" t="s">
        <v>28</v>
      </c>
    </row>
    <row r="38" spans="1:7" ht="20.100000000000001" customHeight="1">
      <c r="A38" s="20" t="s">
        <v>42</v>
      </c>
      <c r="B38" s="3" t="s">
        <v>139</v>
      </c>
      <c r="C38" s="3" t="s">
        <v>191</v>
      </c>
      <c r="D38" s="4">
        <v>0</v>
      </c>
      <c r="E38" s="4">
        <v>25000</v>
      </c>
      <c r="F38" s="4">
        <v>350000</v>
      </c>
      <c r="G38" s="21" t="s">
        <v>28</v>
      </c>
    </row>
    <row r="39" spans="1:7" ht="20.100000000000001" customHeight="1">
      <c r="A39" s="20" t="s">
        <v>42</v>
      </c>
      <c r="B39" s="3" t="s">
        <v>144</v>
      </c>
      <c r="C39" s="3" t="s">
        <v>192</v>
      </c>
      <c r="D39" s="4">
        <v>0</v>
      </c>
      <c r="E39" s="4">
        <v>60000</v>
      </c>
      <c r="F39" s="4">
        <v>298818</v>
      </c>
      <c r="G39" s="21" t="s">
        <v>28</v>
      </c>
    </row>
    <row r="40" spans="1:7" ht="20.100000000000001" customHeight="1">
      <c r="A40" s="20" t="s">
        <v>42</v>
      </c>
      <c r="B40" s="3" t="s">
        <v>193</v>
      </c>
      <c r="C40" s="3" t="s">
        <v>194</v>
      </c>
      <c r="D40" s="4">
        <v>0</v>
      </c>
      <c r="E40" s="4">
        <v>1000</v>
      </c>
      <c r="F40" s="4">
        <v>6500</v>
      </c>
      <c r="G40" s="21" t="s">
        <v>28</v>
      </c>
    </row>
    <row r="41" spans="1:7" ht="20.100000000000001" customHeight="1">
      <c r="A41" s="20" t="s">
        <v>43</v>
      </c>
      <c r="B41" s="3" t="s">
        <v>164</v>
      </c>
      <c r="C41" s="3" t="s">
        <v>195</v>
      </c>
      <c r="D41" s="4">
        <v>0</v>
      </c>
      <c r="E41" s="4">
        <v>500</v>
      </c>
      <c r="F41" s="4">
        <v>175064</v>
      </c>
      <c r="G41" s="21" t="s">
        <v>28</v>
      </c>
    </row>
    <row r="42" spans="1:7" ht="20.100000000000001" customHeight="1">
      <c r="A42" s="20" t="s">
        <v>44</v>
      </c>
      <c r="B42" s="3" t="s">
        <v>164</v>
      </c>
      <c r="C42" s="3" t="s">
        <v>196</v>
      </c>
      <c r="D42" s="4">
        <v>0</v>
      </c>
      <c r="E42" s="4">
        <v>2000</v>
      </c>
      <c r="F42" s="4">
        <v>173064</v>
      </c>
      <c r="G42" s="21" t="s">
        <v>28</v>
      </c>
    </row>
    <row r="43" spans="1:7" ht="20.100000000000001" customHeight="1">
      <c r="A43" s="20" t="s">
        <v>44</v>
      </c>
      <c r="B43" s="3" t="s">
        <v>197</v>
      </c>
      <c r="C43" s="3" t="s">
        <v>198</v>
      </c>
      <c r="D43" s="4">
        <v>0</v>
      </c>
      <c r="E43" s="4">
        <v>10000</v>
      </c>
      <c r="F43" s="4">
        <v>294000</v>
      </c>
      <c r="G43" s="21" t="s">
        <v>28</v>
      </c>
    </row>
    <row r="44" spans="1:7" ht="20.100000000000001" customHeight="1">
      <c r="A44" s="20" t="s">
        <v>44</v>
      </c>
      <c r="B44" s="3" t="s">
        <v>160</v>
      </c>
      <c r="C44" s="3" t="s">
        <v>199</v>
      </c>
      <c r="D44" s="4">
        <v>0</v>
      </c>
      <c r="E44" s="4">
        <v>17000</v>
      </c>
      <c r="F44" s="4">
        <v>729</v>
      </c>
      <c r="G44" s="21" t="s">
        <v>28</v>
      </c>
    </row>
    <row r="45" spans="1:7" ht="20.100000000000001" customHeight="1">
      <c r="A45" s="20" t="s">
        <v>45</v>
      </c>
      <c r="B45" s="3" t="s">
        <v>170</v>
      </c>
      <c r="C45" s="3" t="s">
        <v>200</v>
      </c>
      <c r="D45" s="4">
        <v>0</v>
      </c>
      <c r="E45" s="4">
        <v>1000</v>
      </c>
      <c r="F45" s="4">
        <v>4000</v>
      </c>
      <c r="G45" s="21" t="s">
        <v>28</v>
      </c>
    </row>
    <row r="46" spans="1:7" ht="20.100000000000001" customHeight="1">
      <c r="A46" s="20" t="s">
        <v>46</v>
      </c>
      <c r="B46" s="3" t="s">
        <v>142</v>
      </c>
      <c r="C46" s="3" t="s">
        <v>201</v>
      </c>
      <c r="D46" s="4">
        <v>0</v>
      </c>
      <c r="E46" s="4">
        <v>15000</v>
      </c>
      <c r="F46" s="4">
        <v>16369</v>
      </c>
      <c r="G46" s="21" t="s">
        <v>28</v>
      </c>
    </row>
    <row r="47" spans="1:7" ht="20.100000000000001" customHeight="1">
      <c r="A47" s="20" t="s">
        <v>47</v>
      </c>
      <c r="B47" s="3" t="s">
        <v>170</v>
      </c>
      <c r="C47" s="3" t="s">
        <v>202</v>
      </c>
      <c r="D47" s="4">
        <v>0</v>
      </c>
      <c r="E47" s="4">
        <v>1200</v>
      </c>
      <c r="F47" s="4">
        <v>2800</v>
      </c>
      <c r="G47" s="21" t="s">
        <v>28</v>
      </c>
    </row>
    <row r="48" spans="1:7" ht="20.100000000000001" customHeight="1">
      <c r="A48" s="25"/>
      <c r="B48" s="16"/>
      <c r="C48" s="16"/>
      <c r="D48" s="29"/>
      <c r="E48" s="29"/>
      <c r="F48" s="29"/>
      <c r="G48" s="22"/>
    </row>
    <row r="49" spans="1:7" ht="20.100000000000001" customHeight="1">
      <c r="A49" s="25"/>
      <c r="B49" s="16"/>
      <c r="C49" s="16"/>
      <c r="D49" s="29"/>
      <c r="E49" s="29"/>
      <c r="F49" s="29"/>
      <c r="G49" s="22"/>
    </row>
    <row r="50" spans="1:7" ht="20.100000000000001" customHeight="1">
      <c r="A50" s="25"/>
      <c r="B50" s="16"/>
      <c r="C50" s="16"/>
      <c r="D50" s="29"/>
      <c r="E50" s="29"/>
      <c r="F50" s="29"/>
      <c r="G50" s="22"/>
    </row>
    <row r="51" spans="1:7" ht="20.100000000000001" customHeight="1">
      <c r="A51" s="25"/>
      <c r="B51" s="16"/>
      <c r="C51" s="16"/>
      <c r="D51" s="29"/>
      <c r="E51" s="29"/>
      <c r="F51" s="29"/>
      <c r="G51" s="22"/>
    </row>
    <row r="52" spans="1:7" ht="20.100000000000001" customHeight="1">
      <c r="A52" s="25"/>
      <c r="B52" s="16"/>
      <c r="C52" s="16"/>
      <c r="D52" s="29"/>
      <c r="E52" s="29"/>
      <c r="F52" s="29"/>
      <c r="G52" s="22"/>
    </row>
    <row r="53" spans="1:7" ht="20.100000000000001" customHeight="1">
      <c r="A53" s="25"/>
      <c r="B53" s="16"/>
      <c r="C53" s="16"/>
      <c r="D53" s="29"/>
      <c r="E53" s="29"/>
      <c r="F53" s="29"/>
      <c r="G53" s="22"/>
    </row>
    <row r="54" spans="1:7" ht="20.100000000000001" customHeight="1">
      <c r="A54" s="25"/>
      <c r="B54" s="16"/>
      <c r="C54" s="16"/>
      <c r="D54" s="29"/>
      <c r="E54" s="29"/>
      <c r="F54" s="29"/>
      <c r="G54" s="22"/>
    </row>
    <row r="55" spans="1:7" ht="20.100000000000001" customHeight="1">
      <c r="A55" s="25"/>
      <c r="B55" s="16"/>
      <c r="C55" s="16"/>
      <c r="D55" s="29"/>
      <c r="E55" s="29"/>
      <c r="F55" s="29"/>
      <c r="G55" s="22"/>
    </row>
    <row r="56" spans="1:7" ht="20.100000000000001" customHeight="1">
      <c r="A56" s="25"/>
      <c r="B56" s="16"/>
      <c r="C56" s="16"/>
      <c r="D56" s="29"/>
      <c r="E56" s="29"/>
      <c r="F56" s="29"/>
      <c r="G56" s="22"/>
    </row>
    <row r="57" spans="1:7" ht="20.100000000000001" customHeight="1">
      <c r="A57" s="25"/>
      <c r="B57" s="16"/>
      <c r="C57" s="16"/>
      <c r="D57" s="29"/>
      <c r="E57" s="29"/>
      <c r="F57" s="29"/>
      <c r="G57" s="22"/>
    </row>
    <row r="58" spans="1:7" ht="20.100000000000001" customHeight="1">
      <c r="A58" s="25"/>
      <c r="B58" s="16"/>
      <c r="C58" s="16"/>
      <c r="D58" s="29"/>
      <c r="E58" s="29"/>
      <c r="F58" s="29"/>
      <c r="G58" s="22"/>
    </row>
    <row r="59" spans="1:7" ht="20.100000000000001" customHeight="1">
      <c r="A59" s="25"/>
      <c r="B59" s="16"/>
      <c r="C59" s="16"/>
      <c r="D59" s="29"/>
      <c r="E59" s="29"/>
      <c r="F59" s="29"/>
      <c r="G59" s="22"/>
    </row>
    <row r="60" spans="1:7" ht="20.100000000000001" customHeight="1">
      <c r="A60" s="25"/>
      <c r="B60" s="16"/>
      <c r="C60" s="16"/>
      <c r="D60" s="29"/>
      <c r="E60" s="29"/>
      <c r="F60" s="29"/>
      <c r="G60" s="22"/>
    </row>
    <row r="61" spans="1:7" ht="20.100000000000001" customHeight="1" thickBot="1">
      <c r="A61" s="118" t="s">
        <v>203</v>
      </c>
      <c r="B61" s="119"/>
      <c r="C61" s="36" t="s">
        <v>204</v>
      </c>
      <c r="D61" s="37">
        <f>SUM(D3:D60)</f>
        <v>5134272</v>
      </c>
      <c r="E61" s="37">
        <f>SUM(E3:E60)</f>
        <v>438103</v>
      </c>
      <c r="F61" s="37">
        <f>SUM(F3:F60)</f>
        <v>7594733</v>
      </c>
      <c r="G61" s="24" t="s">
        <v>50</v>
      </c>
    </row>
  </sheetData>
  <mergeCells count="2">
    <mergeCell ref="A1:G1"/>
    <mergeCell ref="A61:B6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>
      <selection activeCell="O11" sqref="O11"/>
    </sheetView>
  </sheetViews>
  <sheetFormatPr defaultRowHeight="15"/>
  <cols>
    <col min="1" max="1" width="15.42578125" customWidth="1"/>
    <col min="2" max="2" width="25" customWidth="1"/>
    <col min="3" max="3" width="14" customWidth="1"/>
    <col min="4" max="4" width="15" customWidth="1"/>
    <col min="5" max="5" width="12" customWidth="1"/>
    <col min="6" max="6" width="14" customWidth="1"/>
    <col min="7" max="7" width="16" customWidth="1"/>
    <col min="8" max="8" width="12" customWidth="1"/>
  </cols>
  <sheetData>
    <row r="1" spans="1:8" ht="35.1" customHeight="1">
      <c r="A1" s="106" t="s">
        <v>244</v>
      </c>
      <c r="B1" s="107"/>
      <c r="C1" s="107"/>
      <c r="D1" s="107"/>
      <c r="E1" s="107"/>
      <c r="F1" s="107"/>
      <c r="G1" s="107"/>
      <c r="H1" s="108"/>
    </row>
    <row r="2" spans="1:8" ht="24.95" customHeight="1">
      <c r="A2" s="6" t="s">
        <v>17</v>
      </c>
      <c r="B2" s="7" t="s">
        <v>245</v>
      </c>
      <c r="C2" s="7" t="s">
        <v>246</v>
      </c>
      <c r="D2" s="7" t="s">
        <v>247</v>
      </c>
      <c r="E2" s="7" t="s">
        <v>248</v>
      </c>
      <c r="F2" s="7" t="s">
        <v>249</v>
      </c>
      <c r="G2" s="7" t="s">
        <v>250</v>
      </c>
      <c r="H2" s="38" t="s">
        <v>26</v>
      </c>
    </row>
    <row r="3" spans="1:8" ht="20.100000000000001" customHeight="1">
      <c r="A3" s="20" t="s">
        <v>37</v>
      </c>
      <c r="B3" s="3" t="s">
        <v>251</v>
      </c>
      <c r="C3" s="5">
        <v>2</v>
      </c>
      <c r="D3" s="5">
        <v>0</v>
      </c>
      <c r="E3" s="5">
        <v>2</v>
      </c>
      <c r="F3" s="5">
        <v>0</v>
      </c>
      <c r="G3" s="4">
        <v>400</v>
      </c>
      <c r="H3" s="21" t="s">
        <v>252</v>
      </c>
    </row>
    <row r="4" spans="1:8" ht="20.100000000000001" customHeight="1">
      <c r="A4" s="20" t="s">
        <v>41</v>
      </c>
      <c r="B4" s="3" t="s">
        <v>253</v>
      </c>
      <c r="C4" s="5">
        <v>20</v>
      </c>
      <c r="D4" s="5">
        <v>0</v>
      </c>
      <c r="E4" s="5">
        <v>20</v>
      </c>
      <c r="F4" s="5">
        <v>0</v>
      </c>
      <c r="G4" s="4">
        <v>200</v>
      </c>
      <c r="H4" s="21" t="s">
        <v>252</v>
      </c>
    </row>
    <row r="5" spans="1:8" ht="20.100000000000001" customHeight="1">
      <c r="A5" s="20" t="s">
        <v>43</v>
      </c>
      <c r="B5" s="3" t="s">
        <v>254</v>
      </c>
      <c r="C5" s="5">
        <v>1</v>
      </c>
      <c r="D5" s="5">
        <v>0</v>
      </c>
      <c r="E5" s="5">
        <v>1</v>
      </c>
      <c r="F5" s="5">
        <v>0</v>
      </c>
      <c r="G5" s="4">
        <v>250</v>
      </c>
      <c r="H5" s="21" t="s">
        <v>252</v>
      </c>
    </row>
    <row r="6" spans="1:8" ht="20.100000000000001" customHeight="1">
      <c r="A6" s="20" t="s">
        <v>44</v>
      </c>
      <c r="B6" s="3" t="s">
        <v>254</v>
      </c>
      <c r="C6" s="5">
        <v>1</v>
      </c>
      <c r="D6" s="5">
        <v>0</v>
      </c>
      <c r="E6" s="5">
        <v>1</v>
      </c>
      <c r="F6" s="5">
        <v>0</v>
      </c>
      <c r="G6" s="4">
        <v>250</v>
      </c>
      <c r="H6" s="21" t="s">
        <v>252</v>
      </c>
    </row>
    <row r="7" spans="1:8" ht="20.100000000000001" customHeight="1">
      <c r="A7" s="20" t="s">
        <v>44</v>
      </c>
      <c r="B7" s="3" t="s">
        <v>253</v>
      </c>
      <c r="C7" s="5">
        <v>10</v>
      </c>
      <c r="D7" s="5">
        <v>0</v>
      </c>
      <c r="E7" s="5">
        <v>10</v>
      </c>
      <c r="F7" s="5">
        <v>0</v>
      </c>
      <c r="G7" s="4">
        <v>50</v>
      </c>
      <c r="H7" s="21" t="s">
        <v>252</v>
      </c>
    </row>
    <row r="8" spans="1:8" ht="20.100000000000001" customHeight="1">
      <c r="A8" s="20" t="s">
        <v>46</v>
      </c>
      <c r="B8" s="3" t="s">
        <v>253</v>
      </c>
      <c r="C8" s="5">
        <v>6</v>
      </c>
      <c r="D8" s="5">
        <v>0</v>
      </c>
      <c r="E8" s="5">
        <v>6</v>
      </c>
      <c r="F8" s="5">
        <v>0</v>
      </c>
      <c r="G8" s="4">
        <v>60</v>
      </c>
      <c r="H8" s="21" t="s">
        <v>252</v>
      </c>
    </row>
    <row r="9" spans="1:8" ht="20.100000000000001" customHeight="1">
      <c r="A9" s="20" t="s">
        <v>47</v>
      </c>
      <c r="B9" s="16" t="s">
        <v>276</v>
      </c>
      <c r="C9" s="15">
        <v>9</v>
      </c>
      <c r="D9" s="15">
        <v>0</v>
      </c>
      <c r="E9" s="15">
        <v>9</v>
      </c>
      <c r="F9" s="15">
        <v>0</v>
      </c>
      <c r="G9" s="29">
        <v>1800</v>
      </c>
      <c r="H9" s="22" t="s">
        <v>252</v>
      </c>
    </row>
    <row r="10" spans="1:8" ht="20.100000000000001" customHeight="1">
      <c r="A10" s="25"/>
      <c r="B10" s="16"/>
      <c r="C10" s="15"/>
      <c r="D10" s="15"/>
      <c r="E10" s="15"/>
      <c r="F10" s="15"/>
      <c r="G10" s="29"/>
      <c r="H10" s="22"/>
    </row>
    <row r="11" spans="1:8" ht="20.100000000000001" customHeight="1">
      <c r="A11" s="25"/>
      <c r="B11" s="16"/>
      <c r="C11" s="15"/>
      <c r="D11" s="15"/>
      <c r="E11" s="15"/>
      <c r="F11" s="15"/>
      <c r="G11" s="29"/>
      <c r="H11" s="22"/>
    </row>
    <row r="12" spans="1:8" ht="20.100000000000001" customHeight="1">
      <c r="A12" s="25"/>
      <c r="B12" s="16"/>
      <c r="C12" s="15"/>
      <c r="D12" s="15"/>
      <c r="E12" s="15"/>
      <c r="F12" s="15"/>
      <c r="G12" s="29"/>
      <c r="H12" s="22"/>
    </row>
    <row r="13" spans="1:8" ht="20.100000000000001" customHeight="1">
      <c r="A13" s="25"/>
      <c r="B13" s="16"/>
      <c r="C13" s="15"/>
      <c r="D13" s="15"/>
      <c r="E13" s="15"/>
      <c r="F13" s="15"/>
      <c r="G13" s="29"/>
      <c r="H13" s="22"/>
    </row>
    <row r="14" spans="1:8" ht="20.100000000000001" customHeight="1">
      <c r="A14" s="25"/>
      <c r="B14" s="16"/>
      <c r="C14" s="15"/>
      <c r="D14" s="15"/>
      <c r="E14" s="15"/>
      <c r="F14" s="15"/>
      <c r="G14" s="29"/>
      <c r="H14" s="22"/>
    </row>
    <row r="15" spans="1:8" ht="20.100000000000001" customHeight="1">
      <c r="A15" s="25"/>
      <c r="B15" s="16"/>
      <c r="C15" s="15"/>
      <c r="D15" s="15"/>
      <c r="E15" s="15"/>
      <c r="F15" s="15"/>
      <c r="G15" s="29"/>
      <c r="H15" s="22"/>
    </row>
    <row r="16" spans="1:8" ht="20.100000000000001" customHeight="1">
      <c r="A16" s="25"/>
      <c r="B16" s="16"/>
      <c r="C16" s="15"/>
      <c r="D16" s="15"/>
      <c r="E16" s="15"/>
      <c r="F16" s="15"/>
      <c r="G16" s="29"/>
      <c r="H16" s="22"/>
    </row>
    <row r="17" spans="1:8" ht="20.100000000000001" customHeight="1" thickBot="1">
      <c r="A17" s="23" t="s">
        <v>255</v>
      </c>
      <c r="B17" s="36" t="s">
        <v>256</v>
      </c>
      <c r="C17" s="36" t="s">
        <v>50</v>
      </c>
      <c r="D17" s="36" t="s">
        <v>50</v>
      </c>
      <c r="E17" s="36" t="s">
        <v>50</v>
      </c>
      <c r="F17" s="36" t="s">
        <v>50</v>
      </c>
      <c r="G17" s="37"/>
      <c r="H17" s="24" t="s">
        <v>50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39"/>
  <sheetViews>
    <sheetView workbookViewId="0">
      <selection activeCell="L27" sqref="L27"/>
    </sheetView>
  </sheetViews>
  <sheetFormatPr defaultRowHeight="16.5"/>
  <cols>
    <col min="1" max="1" width="13.7109375" style="41" customWidth="1"/>
    <col min="2" max="2" width="12.42578125" style="41" customWidth="1"/>
    <col min="3" max="3" width="12.85546875" style="41" customWidth="1"/>
    <col min="4" max="4" width="14.42578125" style="41" customWidth="1"/>
    <col min="5" max="5" width="14.28515625" style="41" customWidth="1"/>
    <col min="6" max="6" width="15.140625" style="41" customWidth="1"/>
    <col min="7" max="9" width="17.28515625" style="41" customWidth="1"/>
    <col min="10" max="10" width="19.42578125" style="41" customWidth="1"/>
    <col min="11" max="11" width="18.85546875" style="41" customWidth="1"/>
    <col min="12" max="12" width="16.28515625" style="41" customWidth="1"/>
    <col min="13" max="13" width="16.140625" style="41" customWidth="1"/>
    <col min="14" max="14" width="20.28515625" style="41" customWidth="1"/>
    <col min="15" max="16" width="15.85546875" style="41" customWidth="1"/>
    <col min="17" max="17" width="20" style="41" customWidth="1"/>
    <col min="18" max="18" width="15.5703125" style="41" customWidth="1"/>
    <col min="19" max="19" width="14.42578125" style="41" customWidth="1"/>
    <col min="20" max="16384" width="9.140625" style="41"/>
  </cols>
  <sheetData>
    <row r="1" spans="1:19" ht="31.5" thickBot="1">
      <c r="A1" s="120" t="s">
        <v>257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2"/>
    </row>
    <row r="2" spans="1:19" ht="17.25" thickBot="1">
      <c r="A2" s="123" t="s">
        <v>277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5"/>
    </row>
    <row r="3" spans="1:19" ht="49.5">
      <c r="A3" s="46" t="s">
        <v>17</v>
      </c>
      <c r="B3" s="42" t="s">
        <v>20</v>
      </c>
      <c r="C3" s="42" t="s">
        <v>24</v>
      </c>
      <c r="D3" s="42" t="s">
        <v>278</v>
      </c>
      <c r="E3" s="42" t="s">
        <v>279</v>
      </c>
      <c r="F3" s="42" t="s">
        <v>4</v>
      </c>
      <c r="G3" s="42" t="s">
        <v>5</v>
      </c>
      <c r="H3" s="42" t="s">
        <v>6</v>
      </c>
      <c r="I3" s="42" t="s">
        <v>7</v>
      </c>
      <c r="J3" s="42" t="s">
        <v>281</v>
      </c>
      <c r="K3" s="42" t="s">
        <v>8</v>
      </c>
      <c r="L3" s="42" t="s">
        <v>9</v>
      </c>
      <c r="M3" s="42" t="s">
        <v>10</v>
      </c>
      <c r="N3" s="42" t="s">
        <v>11</v>
      </c>
      <c r="O3" s="42" t="s">
        <v>12</v>
      </c>
      <c r="P3" s="42" t="s">
        <v>13</v>
      </c>
      <c r="Q3" s="42" t="s">
        <v>14</v>
      </c>
      <c r="R3" s="42" t="s">
        <v>15</v>
      </c>
      <c r="S3" s="47" t="s">
        <v>26</v>
      </c>
    </row>
    <row r="4" spans="1:19">
      <c r="A4" s="53">
        <v>46235</v>
      </c>
      <c r="B4" s="44">
        <f>+'Nozzle Sales Logs'!F3+'Nozzle Sales Logs'!F5+'Nozzle Sales Logs'!F7+'Nozzle Sales Logs'!F9+'Nozzle Sales Logs'!F11</f>
        <v>258495.49</v>
      </c>
      <c r="C4" s="44">
        <f>+'Nozzle Sales Logs'!F4+'Nozzle Sales Logs'!F6+'Nozzle Sales Logs'!F8+'Nozzle Sales Logs'!F10+'Nozzle Sales Logs'!F12</f>
        <v>180258.53</v>
      </c>
      <c r="D4" s="44">
        <f>+C4+B4</f>
        <v>438754.02</v>
      </c>
      <c r="E4" s="45">
        <f>+'Oil Purchage'!F3+'Oil Purchage'!F4</f>
        <v>1414400.4300000002</v>
      </c>
      <c r="F4" s="44">
        <f>+'SBI CC Bank Ledger'!F12</f>
        <v>1275437</v>
      </c>
      <c r="G4" s="45">
        <f>+'Pump Miscellaneous Costs'!D4+'Pump Miscellaneous Costs'!D5</f>
        <v>600</v>
      </c>
      <c r="H4" s="45">
        <f>+'Staff Wages Ledger'!D3+'Staff Wages Ledger'!D4+'Staff Wages Ledger'!D5+'Staff Wages Ledger'!D6+'Staff Wages Ledger'!D7+'Staff Wages Ledger'!D8+'Staff Wages Ledger'!D9</f>
        <v>8230</v>
      </c>
      <c r="I4" s="45">
        <f>+'Debit Interest Book'!D3+'Debit Interest Book'!D4+'Debit Interest Book'!D5</f>
        <v>35852</v>
      </c>
      <c r="J4" s="44">
        <f>+'Owner Personal Book'!E3+'Owner Personal Book'!E4+'Owner Personal Book'!E5+'Owner Personal Book'!E6+'Owner Personal Book'!E7+'Owner Personal Book'!E8</f>
        <v>7135</v>
      </c>
      <c r="K4" s="44">
        <f>+'Party Credit Accounts'!E22+'Party Credit Accounts'!E23+'Party Credit Accounts'!E24+'Party Credit Accounts'!E25+'Party Credit Accounts'!E26+'Party Credit Accounts'!E27+'Party Credit Accounts'!E28+'Party Credit Accounts'!E29+'Party Credit Accounts'!E30+'Party Credit Accounts'!E31+'Party Credit Accounts'!E32</f>
        <v>279093</v>
      </c>
      <c r="L4" s="45">
        <f>+'HPCL '!F5</f>
        <v>410210</v>
      </c>
      <c r="M4" s="45">
        <f>+'Fuel Stock Ledger'!F8+'Fuel Stock Ledger'!K8</f>
        <v>1258731.1700000002</v>
      </c>
      <c r="N4" s="45">
        <f>+M4+L4+K4+J4+I4+H4+G4+F4</f>
        <v>3275288.17</v>
      </c>
      <c r="O4" s="45">
        <f>3000000+918000+400000</f>
        <v>4318000</v>
      </c>
      <c r="P4" s="45">
        <v>1300000</v>
      </c>
      <c r="Q4" s="45">
        <f>+O4-P4</f>
        <v>3018000</v>
      </c>
      <c r="R4" s="45">
        <f>+Q4-N4</f>
        <v>-257288.16999999993</v>
      </c>
      <c r="S4" s="48" t="s">
        <v>28</v>
      </c>
    </row>
    <row r="5" spans="1:19">
      <c r="A5" s="53">
        <v>46266</v>
      </c>
      <c r="B5" s="44">
        <f>+'Nozzle Sales Logs'!F13+'Nozzle Sales Logs'!F15+'Nozzle Sales Logs'!F17+'Nozzle Sales Logs'!F19+'Nozzle Sales Logs'!F22+'Nozzle Sales Logs'!F24+'Nozzle Sales Logs'!F26+'Nozzle Sales Logs'!F28+'Nozzle Sales Logs'!F30+'Nozzle Sales Logs'!F32+'Nozzle Sales Logs'!F34+'Nozzle Sales Logs'!F36+'Nozzle Sales Logs'!F38+'Nozzle Sales Logs'!F40+'Nozzle Sales Logs'!F42+'Nozzle Sales Logs'!F44+'Nozzle Sales Logs'!F46+'Nozzle Sales Logs'!F49</f>
        <v>442335.1188</v>
      </c>
      <c r="C5" s="44">
        <f>+'Nozzle Sales Logs'!F14+'Nozzle Sales Logs'!F16+'Nozzle Sales Logs'!F18+'Nozzle Sales Logs'!F20+'Nozzle Sales Logs'!F23+'Nozzle Sales Logs'!F25+'Nozzle Sales Logs'!F27+'Nozzle Sales Logs'!F29+'Nozzle Sales Logs'!F31+'Nozzle Sales Logs'!F33+'Nozzle Sales Logs'!F35+'Nozzle Sales Logs'!F37+'Nozzle Sales Logs'!F39+'Nozzle Sales Logs'!F41+'Nozzle Sales Logs'!F43</f>
        <v>121377.34499999999</v>
      </c>
      <c r="D5" s="44">
        <f t="shared" ref="D5:D16" si="0">+C5+B5</f>
        <v>563712.46380000003</v>
      </c>
      <c r="E5" s="44">
        <f>+'Oil Purchage'!F5+'Oil Purchage'!F6</f>
        <v>1223852.77</v>
      </c>
      <c r="F5" s="45">
        <f>+'SBI CC Bank Ledger'!F45</f>
        <v>738194.83999999985</v>
      </c>
      <c r="G5" s="45">
        <f>+'Pump Miscellaneous Costs'!D6+'Pump Miscellaneous Costs'!D7</f>
        <v>1910</v>
      </c>
      <c r="H5" s="45">
        <f>+'Staff Wages Ledger'!D10+'Staff Wages Ledger'!D11+'Staff Wages Ledger'!D12+'Staff Wages Ledger'!D13+'Staff Wages Ledger'!D14+'Staff Wages Ledger'!D15</f>
        <v>19960</v>
      </c>
      <c r="I5" s="45"/>
      <c r="J5" s="45">
        <f>+'Owner Personal Book'!E9+'Owner Personal Book'!E10+'Owner Personal Book'!E11+'Owner Personal Book'!E12+'Owner Personal Book'!E13+'Owner Personal Book'!E14+'Owner Personal Book'!E15+'Owner Personal Book'!E16+'Owner Personal Book'!E17+'Owner Personal Book'!E18+'Owner Personal Book'!E19+'Owner Personal Book'!E20+'Owner Personal Book'!E21+'Owner Personal Book'!E22+'Owner Personal Book'!E23+'Owner Personal Book'!E24+'Owner Personal Book'!E25+'Owner Personal Book'!E26+'Owner Personal Book'!E27+'Owner Personal Book'!E28+'Owner Personal Book'!E29</f>
        <v>62656</v>
      </c>
      <c r="K5" s="44">
        <f>+'Party Credit Accounts'!E33+'Party Credit Accounts'!E34+'Party Credit Accounts'!E35+'Party Credit Accounts'!E36+'Party Credit Accounts'!E37+'Party Credit Accounts'!E38+'Party Credit Accounts'!E39+'Party Credit Accounts'!E40+'Party Credit Accounts'!E41+'Party Credit Accounts'!E42+'Party Credit Accounts'!E43+'Party Credit Accounts'!E44+'Party Credit Accounts'!E45+'Party Credit Accounts'!E46+'Party Credit Accounts'!E47+'Party Credit Accounts'!E48+'Party Credit Accounts'!E49+'Party Credit Accounts'!E50+'Party Credit Accounts'!E51+'Party Credit Accounts'!E52+'Party Credit Accounts'!E53+'Party Credit Accounts'!E54+'Party Credit Accounts'!E55+'Party Credit Accounts'!E56+'Party Credit Accounts'!E57+'Party Credit Accounts'!E58+'Party Credit Accounts'!E59</f>
        <v>159010</v>
      </c>
      <c r="L5" s="45">
        <f>+'HPCL '!F17</f>
        <v>25007.229999999981</v>
      </c>
      <c r="M5" s="45"/>
      <c r="N5" s="45"/>
      <c r="O5" s="45"/>
      <c r="P5" s="45"/>
      <c r="Q5" s="45"/>
      <c r="R5" s="44"/>
      <c r="S5" s="48" t="s">
        <v>28</v>
      </c>
    </row>
    <row r="6" spans="1:19">
      <c r="A6" s="53">
        <v>46296</v>
      </c>
      <c r="B6" s="45"/>
      <c r="C6" s="45"/>
      <c r="D6" s="44">
        <f t="shared" si="0"/>
        <v>0</v>
      </c>
      <c r="E6" s="44"/>
      <c r="F6" s="45"/>
      <c r="G6" s="45"/>
      <c r="H6" s="45"/>
      <c r="I6" s="45"/>
      <c r="J6" s="45"/>
      <c r="K6" s="44"/>
      <c r="L6" s="44"/>
      <c r="M6" s="45"/>
      <c r="N6" s="45"/>
      <c r="O6" s="45"/>
      <c r="P6" s="45"/>
      <c r="Q6" s="45"/>
      <c r="R6" s="45"/>
      <c r="S6" s="48" t="s">
        <v>28</v>
      </c>
    </row>
    <row r="7" spans="1:19">
      <c r="A7" s="53">
        <v>46327</v>
      </c>
      <c r="B7" s="45"/>
      <c r="C7" s="45"/>
      <c r="D7" s="44">
        <f t="shared" si="0"/>
        <v>0</v>
      </c>
      <c r="E7" s="44"/>
      <c r="F7" s="45"/>
      <c r="G7" s="44"/>
      <c r="H7" s="44"/>
      <c r="I7" s="44"/>
      <c r="J7" s="44"/>
      <c r="K7" s="44"/>
      <c r="L7" s="44"/>
      <c r="M7" s="45"/>
      <c r="N7" s="45"/>
      <c r="O7" s="45"/>
      <c r="P7" s="45"/>
      <c r="Q7" s="45"/>
      <c r="R7" s="45"/>
      <c r="S7" s="48" t="s">
        <v>28</v>
      </c>
    </row>
    <row r="8" spans="1:19">
      <c r="A8" s="53">
        <v>46357</v>
      </c>
      <c r="B8" s="45"/>
      <c r="C8" s="45"/>
      <c r="D8" s="44">
        <f t="shared" si="0"/>
        <v>0</v>
      </c>
      <c r="E8" s="44"/>
      <c r="F8" s="44"/>
      <c r="G8" s="45"/>
      <c r="H8" s="45"/>
      <c r="I8" s="45"/>
      <c r="J8" s="44"/>
      <c r="K8" s="44"/>
      <c r="L8" s="44"/>
      <c r="M8" s="45"/>
      <c r="N8" s="45"/>
      <c r="O8" s="45"/>
      <c r="P8" s="45"/>
      <c r="Q8" s="45"/>
      <c r="R8" s="45"/>
      <c r="S8" s="48" t="s">
        <v>28</v>
      </c>
    </row>
    <row r="9" spans="1:19">
      <c r="A9" s="53">
        <v>46388</v>
      </c>
      <c r="B9" s="45"/>
      <c r="C9" s="45"/>
      <c r="D9" s="44">
        <f t="shared" si="0"/>
        <v>0</v>
      </c>
      <c r="E9" s="44"/>
      <c r="F9" s="44"/>
      <c r="G9" s="44"/>
      <c r="H9" s="44"/>
      <c r="I9" s="44"/>
      <c r="J9" s="45"/>
      <c r="K9" s="44"/>
      <c r="L9" s="44"/>
      <c r="M9" s="45"/>
      <c r="N9" s="45"/>
      <c r="O9" s="45"/>
      <c r="P9" s="45"/>
      <c r="Q9" s="45"/>
      <c r="R9" s="45"/>
      <c r="S9" s="48" t="s">
        <v>28</v>
      </c>
    </row>
    <row r="10" spans="1:19">
      <c r="A10" s="53">
        <v>46419</v>
      </c>
      <c r="B10" s="45"/>
      <c r="C10" s="45"/>
      <c r="D10" s="44">
        <f t="shared" si="0"/>
        <v>0</v>
      </c>
      <c r="E10" s="44"/>
      <c r="F10" s="45"/>
      <c r="G10" s="45"/>
      <c r="H10" s="45"/>
      <c r="I10" s="45"/>
      <c r="J10" s="44"/>
      <c r="K10" s="44"/>
      <c r="L10" s="44"/>
      <c r="M10" s="45"/>
      <c r="N10" s="45"/>
      <c r="O10" s="45"/>
      <c r="P10" s="45"/>
      <c r="Q10" s="45"/>
      <c r="R10" s="45"/>
      <c r="S10" s="48" t="s">
        <v>28</v>
      </c>
    </row>
    <row r="11" spans="1:19">
      <c r="A11" s="53">
        <v>46447</v>
      </c>
      <c r="B11" s="45"/>
      <c r="C11" s="45"/>
      <c r="D11" s="44">
        <f t="shared" si="0"/>
        <v>0</v>
      </c>
      <c r="E11" s="44"/>
      <c r="F11" s="45"/>
      <c r="G11" s="45"/>
      <c r="H11" s="45"/>
      <c r="I11" s="45"/>
      <c r="J11" s="44"/>
      <c r="K11" s="44"/>
      <c r="L11" s="44"/>
      <c r="M11" s="45"/>
      <c r="N11" s="45"/>
      <c r="O11" s="45"/>
      <c r="P11" s="45"/>
      <c r="Q11" s="45"/>
      <c r="R11" s="45"/>
      <c r="S11" s="48" t="s">
        <v>28</v>
      </c>
    </row>
    <row r="12" spans="1:19">
      <c r="A12" s="53">
        <v>46478</v>
      </c>
      <c r="B12" s="45"/>
      <c r="C12" s="45"/>
      <c r="D12" s="44">
        <f t="shared" si="0"/>
        <v>0</v>
      </c>
      <c r="E12" s="44"/>
      <c r="F12" s="44"/>
      <c r="G12" s="44"/>
      <c r="H12" s="44"/>
      <c r="I12" s="44"/>
      <c r="J12" s="45"/>
      <c r="K12" s="44"/>
      <c r="L12" s="44"/>
      <c r="M12" s="45"/>
      <c r="N12" s="45"/>
      <c r="O12" s="45"/>
      <c r="P12" s="45"/>
      <c r="Q12" s="45"/>
      <c r="R12" s="45"/>
      <c r="S12" s="48" t="s">
        <v>28</v>
      </c>
    </row>
    <row r="13" spans="1:19">
      <c r="A13" s="53">
        <v>46508</v>
      </c>
      <c r="B13" s="44"/>
      <c r="C13" s="44"/>
      <c r="D13" s="44">
        <f t="shared" si="0"/>
        <v>0</v>
      </c>
      <c r="E13" s="44"/>
      <c r="F13" s="44"/>
      <c r="G13" s="44"/>
      <c r="H13" s="44"/>
      <c r="I13" s="44"/>
      <c r="J13" s="45"/>
      <c r="K13" s="44"/>
      <c r="L13" s="44"/>
      <c r="M13" s="45"/>
      <c r="N13" s="45"/>
      <c r="O13" s="45"/>
      <c r="P13" s="45"/>
      <c r="Q13" s="45"/>
      <c r="R13" s="45"/>
      <c r="S13" s="48" t="s">
        <v>39</v>
      </c>
    </row>
    <row r="14" spans="1:19">
      <c r="A14" s="53">
        <v>46539</v>
      </c>
      <c r="B14" s="44"/>
      <c r="C14" s="44"/>
      <c r="D14" s="44">
        <f t="shared" si="0"/>
        <v>0</v>
      </c>
      <c r="E14" s="44"/>
      <c r="F14" s="45"/>
      <c r="G14" s="44"/>
      <c r="H14" s="44"/>
      <c r="I14" s="44"/>
      <c r="J14" s="44"/>
      <c r="K14" s="45"/>
      <c r="L14" s="44"/>
      <c r="M14" s="45"/>
      <c r="N14" s="45"/>
      <c r="O14" s="45"/>
      <c r="P14" s="45"/>
      <c r="Q14" s="45"/>
      <c r="R14" s="44"/>
      <c r="S14" s="48" t="s">
        <v>28</v>
      </c>
    </row>
    <row r="15" spans="1:19">
      <c r="A15" s="53">
        <v>46569</v>
      </c>
      <c r="B15" s="44"/>
      <c r="C15" s="44"/>
      <c r="D15" s="44">
        <f t="shared" si="0"/>
        <v>0</v>
      </c>
      <c r="E15" s="44"/>
      <c r="F15" s="44"/>
      <c r="G15" s="44"/>
      <c r="H15" s="44"/>
      <c r="I15" s="44"/>
      <c r="J15" s="44"/>
      <c r="K15" s="44"/>
      <c r="L15" s="44"/>
      <c r="M15" s="45"/>
      <c r="N15" s="45"/>
      <c r="O15" s="45"/>
      <c r="P15" s="45"/>
      <c r="Q15" s="45"/>
      <c r="R15" s="44"/>
      <c r="S15" s="48" t="s">
        <v>28</v>
      </c>
    </row>
    <row r="16" spans="1:19">
      <c r="A16" s="53">
        <v>46600</v>
      </c>
      <c r="B16" s="44"/>
      <c r="C16" s="44"/>
      <c r="D16" s="44">
        <f t="shared" si="0"/>
        <v>0</v>
      </c>
      <c r="E16" s="44"/>
      <c r="F16" s="44"/>
      <c r="G16" s="45"/>
      <c r="H16" s="45"/>
      <c r="I16" s="45"/>
      <c r="J16" s="44"/>
      <c r="K16" s="44"/>
      <c r="L16" s="44"/>
      <c r="M16" s="45"/>
      <c r="N16" s="45"/>
      <c r="O16" s="45"/>
      <c r="P16" s="45"/>
      <c r="Q16" s="45"/>
      <c r="R16" s="44"/>
      <c r="S16" s="48" t="s">
        <v>28</v>
      </c>
    </row>
    <row r="17" spans="1:19">
      <c r="A17" s="53">
        <v>46631</v>
      </c>
      <c r="B17" s="45"/>
      <c r="C17" s="45"/>
      <c r="D17" s="45"/>
      <c r="E17" s="45"/>
      <c r="F17" s="45"/>
      <c r="G17" s="44"/>
      <c r="H17" s="44"/>
      <c r="I17" s="44"/>
      <c r="J17" s="44"/>
      <c r="K17" s="44"/>
      <c r="L17" s="44"/>
      <c r="M17" s="45"/>
      <c r="N17" s="45"/>
      <c r="O17" s="45"/>
      <c r="P17" s="45"/>
      <c r="Q17" s="45"/>
      <c r="R17" s="45"/>
      <c r="S17" s="48" t="s">
        <v>28</v>
      </c>
    </row>
    <row r="18" spans="1:19">
      <c r="A18" s="53">
        <v>46661</v>
      </c>
      <c r="B18" s="45"/>
      <c r="C18" s="45"/>
      <c r="D18" s="45"/>
      <c r="E18" s="44"/>
      <c r="F18" s="45"/>
      <c r="G18" s="45"/>
      <c r="H18" s="45"/>
      <c r="I18" s="45"/>
      <c r="J18" s="44"/>
      <c r="K18" s="44"/>
      <c r="L18" s="44"/>
      <c r="M18" s="45"/>
      <c r="N18" s="45"/>
      <c r="O18" s="45"/>
      <c r="P18" s="45"/>
      <c r="Q18" s="45"/>
      <c r="R18" s="45"/>
      <c r="S18" s="48" t="s">
        <v>28</v>
      </c>
    </row>
    <row r="19" spans="1:19">
      <c r="A19" s="53">
        <v>46692</v>
      </c>
      <c r="B19" s="44"/>
      <c r="C19" s="44"/>
      <c r="D19" s="44"/>
      <c r="E19" s="44"/>
      <c r="F19" s="45"/>
      <c r="G19" s="45"/>
      <c r="H19" s="45"/>
      <c r="I19" s="45"/>
      <c r="J19" s="44"/>
      <c r="K19" s="44"/>
      <c r="L19" s="44"/>
      <c r="M19" s="45"/>
      <c r="N19" s="45"/>
      <c r="O19" s="45"/>
      <c r="P19" s="45"/>
      <c r="Q19" s="45"/>
      <c r="R19" s="44"/>
      <c r="S19" s="48" t="s">
        <v>28</v>
      </c>
    </row>
    <row r="20" spans="1:19">
      <c r="A20" s="53">
        <v>46722</v>
      </c>
      <c r="B20" s="45"/>
      <c r="C20" s="45"/>
      <c r="D20" s="45"/>
      <c r="E20" s="44"/>
      <c r="F20" s="44"/>
      <c r="G20" s="45"/>
      <c r="H20" s="45"/>
      <c r="I20" s="45"/>
      <c r="J20" s="44"/>
      <c r="K20" s="44"/>
      <c r="L20" s="44"/>
      <c r="M20" s="45"/>
      <c r="N20" s="45"/>
      <c r="O20" s="45"/>
      <c r="P20" s="45"/>
      <c r="Q20" s="45"/>
      <c r="R20" s="44"/>
      <c r="S20" s="48" t="s">
        <v>28</v>
      </c>
    </row>
    <row r="21" spans="1:19">
      <c r="A21" s="53">
        <v>46753</v>
      </c>
      <c r="B21" s="45"/>
      <c r="C21" s="45"/>
      <c r="D21" s="45"/>
      <c r="E21" s="44"/>
      <c r="F21" s="45"/>
      <c r="G21" s="45"/>
      <c r="H21" s="45"/>
      <c r="I21" s="45"/>
      <c r="J21" s="45"/>
      <c r="K21" s="44"/>
      <c r="L21" s="44"/>
      <c r="M21" s="45"/>
      <c r="N21" s="45"/>
      <c r="O21" s="45"/>
      <c r="P21" s="45"/>
      <c r="Q21" s="45"/>
      <c r="R21" s="45"/>
      <c r="S21" s="48" t="s">
        <v>28</v>
      </c>
    </row>
    <row r="22" spans="1:19">
      <c r="A22" s="53">
        <v>46784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8" t="s">
        <v>28</v>
      </c>
    </row>
    <row r="23" spans="1:19">
      <c r="A23" s="53">
        <v>46813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8" t="s">
        <v>28</v>
      </c>
    </row>
    <row r="24" spans="1:19">
      <c r="A24" s="53">
        <v>46844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8" t="s">
        <v>28</v>
      </c>
    </row>
    <row r="25" spans="1:19">
      <c r="A25" s="53">
        <v>46874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8" t="s">
        <v>28</v>
      </c>
    </row>
    <row r="26" spans="1:19">
      <c r="A26" s="53">
        <v>46905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8" t="s">
        <v>28</v>
      </c>
    </row>
    <row r="27" spans="1:19">
      <c r="A27" s="53">
        <v>46935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8" t="s">
        <v>28</v>
      </c>
    </row>
    <row r="28" spans="1:19">
      <c r="A28" s="53">
        <v>46966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8" t="s">
        <v>28</v>
      </c>
    </row>
    <row r="29" spans="1:19">
      <c r="A29" s="53">
        <v>46997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8" t="s">
        <v>28</v>
      </c>
    </row>
    <row r="30" spans="1:19">
      <c r="A30" s="53">
        <v>47027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8" t="s">
        <v>28</v>
      </c>
    </row>
    <row r="31" spans="1:19">
      <c r="A31" s="53">
        <v>47058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8" t="s">
        <v>28</v>
      </c>
    </row>
    <row r="32" spans="1:19">
      <c r="A32" s="53">
        <v>47088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8" t="s">
        <v>28</v>
      </c>
    </row>
    <row r="33" spans="1:19">
      <c r="A33" s="53">
        <v>47119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8" t="s">
        <v>28</v>
      </c>
    </row>
    <row r="34" spans="1:19">
      <c r="A34" s="53">
        <v>47150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8" t="s">
        <v>28</v>
      </c>
    </row>
    <row r="35" spans="1:19">
      <c r="A35" s="53">
        <v>47178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8" t="s">
        <v>28</v>
      </c>
    </row>
    <row r="36" spans="1:19">
      <c r="A36" s="53">
        <v>47209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8" t="s">
        <v>28</v>
      </c>
    </row>
    <row r="37" spans="1:19">
      <c r="A37" s="53">
        <v>47239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8" t="s">
        <v>28</v>
      </c>
    </row>
    <row r="38" spans="1:19" ht="17.25" thickBot="1">
      <c r="A38" s="53">
        <v>47270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8" t="s">
        <v>28</v>
      </c>
    </row>
    <row r="39" spans="1:19" ht="17.25" thickBot="1">
      <c r="A39" s="49"/>
      <c r="B39" s="50">
        <f t="shared" ref="B39:R39" si="1">SUM(B4:B38)</f>
        <v>700830.60880000005</v>
      </c>
      <c r="C39" s="50">
        <f t="shared" si="1"/>
        <v>301635.875</v>
      </c>
      <c r="D39" s="50">
        <f t="shared" si="1"/>
        <v>1002466.4838</v>
      </c>
      <c r="E39" s="89">
        <f t="shared" si="1"/>
        <v>2638253.2000000002</v>
      </c>
      <c r="F39" s="51">
        <f t="shared" si="1"/>
        <v>2013631.8399999999</v>
      </c>
      <c r="G39" s="89">
        <f t="shared" si="1"/>
        <v>2510</v>
      </c>
      <c r="H39" s="89">
        <f t="shared" si="1"/>
        <v>28190</v>
      </c>
      <c r="I39" s="89">
        <f t="shared" si="1"/>
        <v>35852</v>
      </c>
      <c r="J39" s="51">
        <f t="shared" si="1"/>
        <v>69791</v>
      </c>
      <c r="K39" s="51">
        <f t="shared" si="1"/>
        <v>438103</v>
      </c>
      <c r="L39" s="89">
        <f t="shared" si="1"/>
        <v>435217.23</v>
      </c>
      <c r="M39" s="89">
        <f t="shared" si="1"/>
        <v>1258731.1700000002</v>
      </c>
      <c r="N39" s="89">
        <f t="shared" si="1"/>
        <v>3275288.17</v>
      </c>
      <c r="O39" s="89">
        <f t="shared" si="1"/>
        <v>4318000</v>
      </c>
      <c r="P39" s="89">
        <f t="shared" si="1"/>
        <v>1300000</v>
      </c>
      <c r="Q39" s="89">
        <f t="shared" si="1"/>
        <v>3018000</v>
      </c>
      <c r="R39" s="90">
        <f t="shared" si="1"/>
        <v>-257288.16999999993</v>
      </c>
      <c r="S39" s="52" t="s">
        <v>28</v>
      </c>
    </row>
  </sheetData>
  <mergeCells count="2">
    <mergeCell ref="A1:S1"/>
    <mergeCell ref="A2:S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39"/>
  <sheetViews>
    <sheetView topLeftCell="D1" workbookViewId="0">
      <selection activeCell="M30" sqref="M30"/>
    </sheetView>
  </sheetViews>
  <sheetFormatPr defaultRowHeight="16.5"/>
  <cols>
    <col min="1" max="1" width="24.140625" style="41" customWidth="1"/>
    <col min="2" max="2" width="12.42578125" style="41" customWidth="1"/>
    <col min="3" max="3" width="12.85546875" style="41" customWidth="1"/>
    <col min="4" max="4" width="14.42578125" style="41" customWidth="1"/>
    <col min="5" max="5" width="14.28515625" style="41" customWidth="1"/>
    <col min="6" max="6" width="15.140625" style="41" customWidth="1"/>
    <col min="7" max="9" width="17.28515625" style="41" customWidth="1"/>
    <col min="10" max="10" width="19.42578125" style="41" customWidth="1"/>
    <col min="11" max="11" width="18.85546875" style="41" customWidth="1"/>
    <col min="12" max="12" width="16.28515625" style="41" customWidth="1"/>
    <col min="13" max="13" width="16.140625" style="41" customWidth="1"/>
    <col min="14" max="14" width="20.28515625" style="41" customWidth="1"/>
    <col min="15" max="16" width="15.85546875" style="41" customWidth="1"/>
    <col min="17" max="17" width="20" style="41" customWidth="1"/>
    <col min="18" max="18" width="15.5703125" style="41" customWidth="1"/>
    <col min="19" max="19" width="14.42578125" style="41" customWidth="1"/>
    <col min="20" max="16384" width="9.140625" style="41"/>
  </cols>
  <sheetData>
    <row r="1" spans="1:19" ht="31.5" thickBot="1">
      <c r="A1" s="120" t="s">
        <v>257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2"/>
    </row>
    <row r="2" spans="1:19" ht="17.25" thickBot="1">
      <c r="A2" s="123" t="s">
        <v>283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5"/>
    </row>
    <row r="3" spans="1:19" ht="49.5">
      <c r="A3" s="46" t="s">
        <v>17</v>
      </c>
      <c r="B3" s="42" t="s">
        <v>20</v>
      </c>
      <c r="C3" s="42" t="s">
        <v>24</v>
      </c>
      <c r="D3" s="42" t="s">
        <v>278</v>
      </c>
      <c r="E3" s="42" t="s">
        <v>279</v>
      </c>
      <c r="F3" s="42" t="s">
        <v>4</v>
      </c>
      <c r="G3" s="42" t="s">
        <v>5</v>
      </c>
      <c r="H3" s="42" t="s">
        <v>6</v>
      </c>
      <c r="I3" s="42" t="s">
        <v>7</v>
      </c>
      <c r="J3" s="42" t="s">
        <v>281</v>
      </c>
      <c r="K3" s="42" t="s">
        <v>8</v>
      </c>
      <c r="L3" s="42" t="s">
        <v>9</v>
      </c>
      <c r="M3" s="42" t="s">
        <v>10</v>
      </c>
      <c r="N3" s="42" t="s">
        <v>11</v>
      </c>
      <c r="O3" s="42" t="s">
        <v>12</v>
      </c>
      <c r="P3" s="42" t="s">
        <v>13</v>
      </c>
      <c r="Q3" s="42" t="s">
        <v>14</v>
      </c>
      <c r="R3" s="42" t="s">
        <v>15</v>
      </c>
      <c r="S3" s="47" t="s">
        <v>26</v>
      </c>
    </row>
    <row r="4" spans="1:19">
      <c r="A4" s="43" t="s">
        <v>282</v>
      </c>
      <c r="B4" s="44"/>
      <c r="C4" s="44"/>
      <c r="D4" s="44"/>
      <c r="E4" s="45"/>
      <c r="F4" s="44"/>
      <c r="G4" s="45"/>
      <c r="H4" s="45"/>
      <c r="I4" s="45"/>
      <c r="J4" s="44"/>
      <c r="K4" s="44"/>
      <c r="L4" s="45"/>
      <c r="M4" s="45"/>
      <c r="N4" s="45"/>
      <c r="O4" s="45"/>
      <c r="P4" s="45"/>
      <c r="Q4" s="45"/>
      <c r="R4" s="44"/>
      <c r="S4" s="48" t="s">
        <v>28</v>
      </c>
    </row>
    <row r="5" spans="1:19">
      <c r="A5" s="43" t="s">
        <v>284</v>
      </c>
      <c r="B5" s="44"/>
      <c r="C5" s="44"/>
      <c r="D5" s="44"/>
      <c r="E5" s="44"/>
      <c r="F5" s="45"/>
      <c r="G5" s="45"/>
      <c r="H5" s="45"/>
      <c r="I5" s="45"/>
      <c r="J5" s="45"/>
      <c r="K5" s="44"/>
      <c r="L5" s="45"/>
      <c r="M5" s="45"/>
      <c r="N5" s="45"/>
      <c r="O5" s="45"/>
      <c r="P5" s="45"/>
      <c r="Q5" s="45"/>
      <c r="R5" s="44"/>
      <c r="S5" s="48" t="s">
        <v>28</v>
      </c>
    </row>
    <row r="6" spans="1:19">
      <c r="A6" s="43" t="s">
        <v>285</v>
      </c>
      <c r="B6" s="45"/>
      <c r="C6" s="45"/>
      <c r="D6" s="45"/>
      <c r="E6" s="44"/>
      <c r="F6" s="45"/>
      <c r="G6" s="45"/>
      <c r="H6" s="45"/>
      <c r="I6" s="45"/>
      <c r="J6" s="45"/>
      <c r="K6" s="44"/>
      <c r="L6" s="44"/>
      <c r="M6" s="45"/>
      <c r="N6" s="45"/>
      <c r="O6" s="45"/>
      <c r="P6" s="45"/>
      <c r="Q6" s="45"/>
      <c r="R6" s="45"/>
      <c r="S6" s="48" t="s">
        <v>28</v>
      </c>
    </row>
    <row r="7" spans="1:19">
      <c r="A7" s="43" t="s">
        <v>286</v>
      </c>
      <c r="B7" s="45"/>
      <c r="C7" s="45"/>
      <c r="D7" s="45"/>
      <c r="E7" s="44"/>
      <c r="F7" s="45"/>
      <c r="G7" s="44"/>
      <c r="H7" s="44"/>
      <c r="I7" s="44"/>
      <c r="J7" s="44"/>
      <c r="K7" s="44"/>
      <c r="L7" s="44"/>
      <c r="M7" s="45"/>
      <c r="N7" s="45"/>
      <c r="O7" s="45"/>
      <c r="P7" s="45"/>
      <c r="Q7" s="45"/>
      <c r="R7" s="45"/>
      <c r="S7" s="48" t="s">
        <v>28</v>
      </c>
    </row>
    <row r="8" spans="1:19">
      <c r="A8" s="43" t="s">
        <v>287</v>
      </c>
      <c r="B8" s="45"/>
      <c r="C8" s="45"/>
      <c r="D8" s="45"/>
      <c r="E8" s="44"/>
      <c r="F8" s="44"/>
      <c r="G8" s="45"/>
      <c r="H8" s="45"/>
      <c r="I8" s="45"/>
      <c r="J8" s="44"/>
      <c r="K8" s="44"/>
      <c r="L8" s="44"/>
      <c r="M8" s="45"/>
      <c r="N8" s="45"/>
      <c r="O8" s="45"/>
      <c r="P8" s="45"/>
      <c r="Q8" s="45"/>
      <c r="R8" s="45"/>
      <c r="S8" s="48" t="s">
        <v>28</v>
      </c>
    </row>
    <row r="9" spans="1:19">
      <c r="A9" s="43" t="s">
        <v>288</v>
      </c>
      <c r="B9" s="45"/>
      <c r="C9" s="45"/>
      <c r="D9" s="45"/>
      <c r="E9" s="44"/>
      <c r="F9" s="44"/>
      <c r="G9" s="44"/>
      <c r="H9" s="44"/>
      <c r="I9" s="44"/>
      <c r="J9" s="45"/>
      <c r="K9" s="44"/>
      <c r="L9" s="44"/>
      <c r="M9" s="45"/>
      <c r="N9" s="45"/>
      <c r="O9" s="45"/>
      <c r="P9" s="45"/>
      <c r="Q9" s="45"/>
      <c r="R9" s="45"/>
      <c r="S9" s="48" t="s">
        <v>28</v>
      </c>
    </row>
    <row r="10" spans="1:19">
      <c r="A10" s="43" t="s">
        <v>289</v>
      </c>
      <c r="B10" s="45"/>
      <c r="C10" s="45"/>
      <c r="D10" s="45"/>
      <c r="E10" s="44"/>
      <c r="F10" s="45"/>
      <c r="G10" s="45"/>
      <c r="H10" s="45"/>
      <c r="I10" s="45"/>
      <c r="J10" s="44"/>
      <c r="K10" s="44"/>
      <c r="L10" s="44"/>
      <c r="M10" s="45"/>
      <c r="N10" s="45"/>
      <c r="O10" s="45"/>
      <c r="P10" s="45"/>
      <c r="Q10" s="45"/>
      <c r="R10" s="45"/>
      <c r="S10" s="48" t="s">
        <v>28</v>
      </c>
    </row>
    <row r="11" spans="1:19">
      <c r="A11" s="43" t="s">
        <v>290</v>
      </c>
      <c r="B11" s="45"/>
      <c r="C11" s="45"/>
      <c r="D11" s="45"/>
      <c r="E11" s="44"/>
      <c r="F11" s="45"/>
      <c r="G11" s="45"/>
      <c r="H11" s="45"/>
      <c r="I11" s="45"/>
      <c r="J11" s="44"/>
      <c r="K11" s="44"/>
      <c r="L11" s="44"/>
      <c r="M11" s="45"/>
      <c r="N11" s="45"/>
      <c r="O11" s="45"/>
      <c r="P11" s="45"/>
      <c r="Q11" s="45"/>
      <c r="R11" s="45"/>
      <c r="S11" s="48" t="s">
        <v>28</v>
      </c>
    </row>
    <row r="12" spans="1:19" ht="17.25" thickBot="1">
      <c r="A12" s="43" t="s">
        <v>291</v>
      </c>
      <c r="B12" s="45"/>
      <c r="C12" s="45"/>
      <c r="D12" s="45"/>
      <c r="E12" s="44"/>
      <c r="F12" s="44"/>
      <c r="G12" s="44"/>
      <c r="H12" s="44"/>
      <c r="I12" s="44"/>
      <c r="J12" s="45"/>
      <c r="K12" s="44"/>
      <c r="L12" s="44"/>
      <c r="M12" s="45"/>
      <c r="N12" s="45"/>
      <c r="O12" s="45"/>
      <c r="P12" s="45"/>
      <c r="Q12" s="45"/>
      <c r="R12" s="45"/>
      <c r="S12" s="48" t="s">
        <v>28</v>
      </c>
    </row>
    <row r="13" spans="1:19" ht="17.25" thickBot="1">
      <c r="A13" s="49"/>
      <c r="B13" s="50"/>
      <c r="C13" s="50"/>
      <c r="D13" s="50"/>
      <c r="E13" s="51"/>
      <c r="F13" s="51"/>
      <c r="G13" s="60"/>
      <c r="H13" s="62"/>
      <c r="I13" s="59"/>
      <c r="J13" s="63"/>
      <c r="K13" s="61"/>
      <c r="L13" s="51"/>
      <c r="M13" s="51"/>
      <c r="N13" s="51"/>
      <c r="O13" s="51"/>
      <c r="P13" s="51"/>
      <c r="Q13" s="51"/>
      <c r="R13" s="50"/>
      <c r="S13" s="52" t="s">
        <v>28</v>
      </c>
    </row>
    <row r="14" spans="1:19">
      <c r="H14" s="44"/>
      <c r="I14" s="44"/>
    </row>
    <row r="15" spans="1:19">
      <c r="H15" s="44"/>
      <c r="I15" s="44"/>
    </row>
    <row r="16" spans="1:19">
      <c r="H16" s="45"/>
      <c r="I16" s="45"/>
    </row>
    <row r="17" spans="8:9">
      <c r="H17" s="44"/>
      <c r="I17" s="44"/>
    </row>
    <row r="18" spans="8:9">
      <c r="H18" s="45"/>
      <c r="I18" s="45"/>
    </row>
    <row r="19" spans="8:9">
      <c r="H19" s="45"/>
      <c r="I19" s="45"/>
    </row>
    <row r="20" spans="8:9">
      <c r="H20" s="45"/>
      <c r="I20" s="45"/>
    </row>
    <row r="21" spans="8:9">
      <c r="H21" s="45"/>
      <c r="I21" s="45"/>
    </row>
    <row r="22" spans="8:9">
      <c r="H22" s="44"/>
      <c r="I22" s="44"/>
    </row>
    <row r="23" spans="8:9">
      <c r="H23" s="44"/>
      <c r="I23" s="44"/>
    </row>
    <row r="24" spans="8:9">
      <c r="H24" s="44"/>
      <c r="I24" s="44"/>
    </row>
    <row r="25" spans="8:9">
      <c r="H25" s="44"/>
      <c r="I25" s="44"/>
    </row>
    <row r="26" spans="8:9">
      <c r="H26" s="44"/>
      <c r="I26" s="44"/>
    </row>
    <row r="27" spans="8:9">
      <c r="H27" s="44"/>
      <c r="I27" s="44"/>
    </row>
    <row r="28" spans="8:9">
      <c r="H28" s="44"/>
      <c r="I28" s="44"/>
    </row>
    <row r="29" spans="8:9">
      <c r="H29" s="44"/>
      <c r="I29" s="44"/>
    </row>
    <row r="30" spans="8:9">
      <c r="H30" s="44"/>
      <c r="I30" s="44"/>
    </row>
    <row r="31" spans="8:9">
      <c r="H31" s="44"/>
      <c r="I31" s="44"/>
    </row>
    <row r="32" spans="8:9">
      <c r="H32" s="44"/>
      <c r="I32" s="44"/>
    </row>
    <row r="33" spans="8:9">
      <c r="H33" s="44"/>
      <c r="I33" s="44"/>
    </row>
    <row r="34" spans="8:9">
      <c r="H34" s="44"/>
      <c r="I34" s="44"/>
    </row>
    <row r="35" spans="8:9">
      <c r="H35" s="44"/>
      <c r="I35" s="44"/>
    </row>
    <row r="36" spans="8:9">
      <c r="H36" s="44"/>
      <c r="I36" s="44"/>
    </row>
    <row r="37" spans="8:9">
      <c r="H37" s="44"/>
      <c r="I37" s="44"/>
    </row>
    <row r="38" spans="8:9" ht="17.25" thickBot="1">
      <c r="H38" s="44"/>
      <c r="I38" s="44"/>
    </row>
    <row r="39" spans="8:9" ht="17.25" thickBot="1">
      <c r="H39" s="51"/>
      <c r="I39" s="51"/>
    </row>
  </sheetData>
  <mergeCells count="2">
    <mergeCell ref="A1:S1"/>
    <mergeCell ref="A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Deshbord</vt:lpstr>
      <vt:lpstr>Fuel Stock Ledger</vt:lpstr>
      <vt:lpstr>Nozzle Sales Logs</vt:lpstr>
      <vt:lpstr>Oil Purchage</vt:lpstr>
      <vt:lpstr>SBI CC Bank Ledger</vt:lpstr>
      <vt:lpstr>Pump Miscellaneous Costs</vt:lpstr>
      <vt:lpstr>Staff Wages Ledger</vt:lpstr>
      <vt:lpstr>Debit Interest Book</vt:lpstr>
      <vt:lpstr>Owner Personal Book</vt:lpstr>
      <vt:lpstr>HPCL </vt:lpstr>
      <vt:lpstr>Party Credit Accounts</vt:lpstr>
      <vt:lpstr>Mobil Lubes Log</vt:lpstr>
      <vt:lpstr>Monthly </vt:lpstr>
      <vt:lpstr>Yearly</vt:lpstr>
      <vt:lpstr>Deshbord!Print_Area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Kumar Singh</cp:lastModifiedBy>
  <cp:lastPrinted>2026-09-15T02:11:47Z</cp:lastPrinted>
  <dcterms:created xsi:type="dcterms:W3CDTF">2026-09-14T05:47:34Z</dcterms:created>
  <dcterms:modified xsi:type="dcterms:W3CDTF">2026-09-15T02:12:08Z</dcterms:modified>
</cp:coreProperties>
</file>